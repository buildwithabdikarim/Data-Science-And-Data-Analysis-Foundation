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K\Downloads\"/>
    </mc:Choice>
  </mc:AlternateContent>
  <xr:revisionPtr revIDLastSave="0" documentId="13_ncr:1_{F6C82064-B2DD-49F0-9D06-B0C0EAC0D253}" xr6:coauthVersionLast="47" xr6:coauthVersionMax="47" xr10:uidLastSave="{00000000-0000-0000-0000-000000000000}"/>
  <bookViews>
    <workbookView xWindow="-110" yWindow="-110" windowWidth="19420" windowHeight="10300" activeTab="2" xr2:uid="{4600E0C2-84B8-4D86-830B-5306F225027C}"/>
  </bookViews>
  <sheets>
    <sheet name="Raw_Data" sheetId="1" r:id="rId1"/>
    <sheet name="Data_Quality_Notes" sheetId="6" r:id="rId2"/>
    <sheet name="Problems" sheetId="7" r:id="rId3"/>
    <sheet name="Detail1" sheetId="5" state="hidden" r:id="rId4"/>
    <sheet name="Cleaned_Data" sheetId="2" r:id="rId5"/>
    <sheet name="Pivot Tables" sheetId="4" r:id="rId6"/>
    <sheet name="Dashboard" sheetId="3" r:id="rId7"/>
  </sheets>
  <definedNames>
    <definedName name="_xlnm._FilterDatabase" localSheetId="4" hidden="1">Cleaned_Data!$A$1:$H$293</definedName>
    <definedName name="_xlnm._FilterDatabase" localSheetId="0" hidden="1">Raw_Data!$A$1:$H$301</definedName>
    <definedName name="CleanedTableData">Table1[]</definedName>
    <definedName name="Slicer_City">#N/A</definedName>
    <definedName name="Slicer_Months__Purchase_Date">#N/A</definedName>
    <definedName name="Slicer_Product_Category">#N/A</definedName>
    <definedName name="Slicer_Years__Purchase_Dat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6" i="2" l="1"/>
  <c r="R38" i="6"/>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2" i="1"/>
  <c r="L12" i="3"/>
  <c r="F12" i="3"/>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A12" i="3" l="1"/>
  <c r="A19" i="3"/>
  <c r="F19" i="3"/>
  <c r="R12" i="3"/>
  <c r="L19" i="3"/>
  <c r="R19" i="3"/>
</calcChain>
</file>

<file path=xl/sharedStrings.xml><?xml version="1.0" encoding="utf-8"?>
<sst xmlns="http://schemas.openxmlformats.org/spreadsheetml/2006/main" count="3817" uniqueCount="389">
  <si>
    <t>Transaction_ID</t>
  </si>
  <si>
    <t>Purchase_Date</t>
  </si>
  <si>
    <t>Customer_Type</t>
  </si>
  <si>
    <t>Product_Category</t>
  </si>
  <si>
    <t>Quantity</t>
  </si>
  <si>
    <t>Unit_Price</t>
  </si>
  <si>
    <t>City</t>
  </si>
  <si>
    <t>TRX00114</t>
  </si>
  <si>
    <t>New</t>
  </si>
  <si>
    <t>Groceries</t>
  </si>
  <si>
    <t>Mogadishu</t>
  </si>
  <si>
    <t>TRX00226</t>
  </si>
  <si>
    <t>Returning</t>
  </si>
  <si>
    <t>Clothing</t>
  </si>
  <si>
    <t>Hargeisa</t>
  </si>
  <si>
    <t>TRX00113</t>
  </si>
  <si>
    <t>Bosaso</t>
  </si>
  <si>
    <t>TRX00110</t>
  </si>
  <si>
    <t>TRX00159</t>
  </si>
  <si>
    <t>Stationery</t>
  </si>
  <si>
    <t>TRX00253</t>
  </si>
  <si>
    <t>TRX00197</t>
  </si>
  <si>
    <t>Unknown</t>
  </si>
  <si>
    <t>Baidoa</t>
  </si>
  <si>
    <t>TRX00093</t>
  </si>
  <si>
    <t>TRX00206</t>
  </si>
  <si>
    <t>TRX00066</t>
  </si>
  <si>
    <t>Electronics</t>
  </si>
  <si>
    <t>TRX00277</t>
  </si>
  <si>
    <t>TRX00167</t>
  </si>
  <si>
    <t>TRX00120</t>
  </si>
  <si>
    <t>TRX00111</t>
  </si>
  <si>
    <t>TRX00096</t>
  </si>
  <si>
    <t>Kismayo</t>
  </si>
  <si>
    <t>TRX00055</t>
  </si>
  <si>
    <t>TRX00249</t>
  </si>
  <si>
    <t>TRX00166</t>
  </si>
  <si>
    <t>TRX00266</t>
  </si>
  <si>
    <t>Home &amp; Living</t>
  </si>
  <si>
    <t>TRX00162</t>
  </si>
  <si>
    <t>TRX00189</t>
  </si>
  <si>
    <t>TRX00036</t>
  </si>
  <si>
    <t>TRX00209</t>
  </si>
  <si>
    <t>TRX00012</t>
  </si>
  <si>
    <t>TRX00133</t>
  </si>
  <si>
    <t>TRX00123</t>
  </si>
  <si>
    <t>TRX00129</t>
  </si>
  <si>
    <t>TRX00183</t>
  </si>
  <si>
    <t>TRX00058</t>
  </si>
  <si>
    <t>TRX00248</t>
  </si>
  <si>
    <t>returning</t>
  </si>
  <si>
    <t>Garowe</t>
  </si>
  <si>
    <t>TRX00028</t>
  </si>
  <si>
    <t>TRX00211</t>
  </si>
  <si>
    <t>TRX00237</t>
  </si>
  <si>
    <t>TRX00139</t>
  </si>
  <si>
    <t>TRX00005</t>
  </si>
  <si>
    <t>TRX00291</t>
  </si>
  <si>
    <t>TRX00213</t>
  </si>
  <si>
    <t>TRX00138</t>
  </si>
  <si>
    <t>TRX00077</t>
  </si>
  <si>
    <t>TRX00064</t>
  </si>
  <si>
    <t>TRX00274</t>
  </si>
  <si>
    <t>TRX00041</t>
  </si>
  <si>
    <t>TRX00165</t>
  </si>
  <si>
    <t>TRX00290</t>
  </si>
  <si>
    <t>TRX00115</t>
  </si>
  <si>
    <t>TRX00207</t>
  </si>
  <si>
    <t>TRX00201</t>
  </si>
  <si>
    <t>TRX00218</t>
  </si>
  <si>
    <t>TRX00219</t>
  </si>
  <si>
    <t>TRX00271</t>
  </si>
  <si>
    <t>TRX00194</t>
  </si>
  <si>
    <t>TRX00174</t>
  </si>
  <si>
    <t>TRX00256</t>
  </si>
  <si>
    <t>GAROWE</t>
  </si>
  <si>
    <t>TRX00048</t>
  </si>
  <si>
    <t>TRX00247</t>
  </si>
  <si>
    <t>TRX00082</t>
  </si>
  <si>
    <t>TRX00079</t>
  </si>
  <si>
    <t>TRX00131</t>
  </si>
  <si>
    <t>TRX00210</t>
  </si>
  <si>
    <t>TRX00250</t>
  </si>
  <si>
    <t>TRX00260</t>
  </si>
  <si>
    <t>TRX00180</t>
  </si>
  <si>
    <t>TRX00147</t>
  </si>
  <si>
    <t>TRX00235</t>
  </si>
  <si>
    <t>TRX00083</t>
  </si>
  <si>
    <t>TRX00234</t>
  </si>
  <si>
    <t>TRX00057</t>
  </si>
  <si>
    <t>TRX00199</t>
  </si>
  <si>
    <t>TRX00181</t>
  </si>
  <si>
    <t>TRX00049</t>
  </si>
  <si>
    <t>TRX00126</t>
  </si>
  <si>
    <t>TRX00158</t>
  </si>
  <si>
    <t>NULL</t>
  </si>
  <si>
    <t>TRX00022</t>
  </si>
  <si>
    <t>TRX00225</t>
  </si>
  <si>
    <t>TRX00085</t>
  </si>
  <si>
    <t>TRX00198</t>
  </si>
  <si>
    <t>baidoa</t>
  </si>
  <si>
    <t>TRX00068</t>
  </si>
  <si>
    <t>TRX00221</t>
  </si>
  <si>
    <t>TRX00105</t>
  </si>
  <si>
    <t>TRX00100</t>
  </si>
  <si>
    <t>TRX00273</t>
  </si>
  <si>
    <t>TRX00261</t>
  </si>
  <si>
    <t>TRX00231</t>
  </si>
  <si>
    <t>TRX00269</t>
  </si>
  <si>
    <t>TRX00149</t>
  </si>
  <si>
    <t>TRX00217</t>
  </si>
  <si>
    <t>TRX00142</t>
  </si>
  <si>
    <t>TRX00200</t>
  </si>
  <si>
    <t>TRX00152</t>
  </si>
  <si>
    <t>TRX00044</t>
  </si>
  <si>
    <t>TRX00136</t>
  </si>
  <si>
    <t>TRX00092</t>
  </si>
  <si>
    <t>TRX00059</t>
  </si>
  <si>
    <t>TRX00242</t>
  </si>
  <si>
    <t>TRX00002</t>
  </si>
  <si>
    <t>TRX00222</t>
  </si>
  <si>
    <t>TRX00026</t>
  </si>
  <si>
    <t>TRX00272</t>
  </si>
  <si>
    <t>TRX00196</t>
  </si>
  <si>
    <t>TRX00029</t>
  </si>
  <si>
    <t>TRX00220</t>
  </si>
  <si>
    <t>TRX00088</t>
  </si>
  <si>
    <t>TRX00134</t>
  </si>
  <si>
    <t>TRX00127</t>
  </si>
  <si>
    <t>TRX00278</t>
  </si>
  <si>
    <t>TRX00182</t>
  </si>
  <si>
    <t>TRX00013</t>
  </si>
  <si>
    <t>TRX00284</t>
  </si>
  <si>
    <t>TRX00091</t>
  </si>
  <si>
    <t>TRX00202</t>
  </si>
  <si>
    <t>new</t>
  </si>
  <si>
    <t>TRX00070</t>
  </si>
  <si>
    <t>TRX00267</t>
  </si>
  <si>
    <t>TRX00144</t>
  </si>
  <si>
    <t>TRX00164</t>
  </si>
  <si>
    <t>TRX00062</t>
  </si>
  <si>
    <t>TRX00283</t>
  </si>
  <si>
    <t>TRX00132</t>
  </si>
  <si>
    <t>TRX00254</t>
  </si>
  <si>
    <t>TRX00130</t>
  </si>
  <si>
    <t>TRX00024</t>
  </si>
  <si>
    <t>TRX00071</t>
  </si>
  <si>
    <t>TRX00285</t>
  </si>
  <si>
    <t>TRX00106</t>
  </si>
  <si>
    <t>TRX00148</t>
  </si>
  <si>
    <t>TRX00053</t>
  </si>
  <si>
    <t>TRX00122</t>
  </si>
  <si>
    <t>TRX00101</t>
  </si>
  <si>
    <t>TRX00212</t>
  </si>
  <si>
    <t>TRX00009</t>
  </si>
  <si>
    <t>TRX00003</t>
  </si>
  <si>
    <t>TRX00047</t>
  </si>
  <si>
    <t>TRX00069</t>
  </si>
  <si>
    <t>TRX00087</t>
  </si>
  <si>
    <t>TRX00289</t>
  </si>
  <si>
    <t>TRX00094</t>
  </si>
  <si>
    <t>TRX00216</t>
  </si>
  <si>
    <t>TRX00227</t>
  </si>
  <si>
    <t>TRX00195</t>
  </si>
  <si>
    <t>TRX00121</t>
  </si>
  <si>
    <t>TRX00007</t>
  </si>
  <si>
    <t>TRX00241</t>
  </si>
  <si>
    <t>TRX00008</t>
  </si>
  <si>
    <t>TRX00205</t>
  </si>
  <si>
    <t>TRX00104</t>
  </si>
  <si>
    <t>TRX00033</t>
  </si>
  <si>
    <t>TRX00108</t>
  </si>
  <si>
    <t>TRX00280</t>
  </si>
  <si>
    <t>TRX00160</t>
  </si>
  <si>
    <t>TRX00184</t>
  </si>
  <si>
    <t>TRX00238</t>
  </si>
  <si>
    <t>TRX00016</t>
  </si>
  <si>
    <t>TRX00145</t>
  </si>
  <si>
    <t>TRX00203</t>
  </si>
  <si>
    <t>TRX00109</t>
  </si>
  <si>
    <t>TRX00228</t>
  </si>
  <si>
    <t>TRX00042</t>
  </si>
  <si>
    <t>TRX00240</t>
  </si>
  <si>
    <t>TRX00099</t>
  </si>
  <si>
    <t>TRX00102</t>
  </si>
  <si>
    <t>TRX00089</t>
  </si>
  <si>
    <t>TRX00135</t>
  </si>
  <si>
    <t>TRX00281</t>
  </si>
  <si>
    <t>TRX00232</t>
  </si>
  <si>
    <t>TRX00268</t>
  </si>
  <si>
    <t>TRX00034</t>
  </si>
  <si>
    <t>TRX00086</t>
  </si>
  <si>
    <t>TRX00117</t>
  </si>
  <si>
    <t>TRX00001</t>
  </si>
  <si>
    <t>TRX00179</t>
  </si>
  <si>
    <t>TRX00061</t>
  </si>
  <si>
    <t>TRX00116</t>
  </si>
  <si>
    <t>TRX00251</t>
  </si>
  <si>
    <t>TRX00288</t>
  </si>
  <si>
    <t>TRX00169</t>
  </si>
  <si>
    <t>TRX00270</t>
  </si>
  <si>
    <t>TRX00151</t>
  </si>
  <si>
    <t>TRX00103</t>
  </si>
  <si>
    <t>TRX00262</t>
  </si>
  <si>
    <t>TRX00097</t>
  </si>
  <si>
    <t>TRX00025</t>
  </si>
  <si>
    <t>TRX00098</t>
  </si>
  <si>
    <t>TRX00137</t>
  </si>
  <si>
    <t>TRX00056</t>
  </si>
  <si>
    <t>TRX00076</t>
  </si>
  <si>
    <t>TRX00038</t>
  </si>
  <si>
    <t>TRX00191</t>
  </si>
  <si>
    <t>TRX00176</t>
  </si>
  <si>
    <t>TRX00015</t>
  </si>
  <si>
    <t>TRX00050</t>
  </si>
  <si>
    <t>TRX00236</t>
  </si>
  <si>
    <t>TRX00263</t>
  </si>
  <si>
    <t>TRX00168</t>
  </si>
  <si>
    <t>TRX00141</t>
  </si>
  <si>
    <t>TRX00185</t>
  </si>
  <si>
    <t>TRX00031</t>
  </si>
  <si>
    <t>TRX00054</t>
  </si>
  <si>
    <t>TRX00208</t>
  </si>
  <si>
    <t>TRX00084</t>
  </si>
  <si>
    <t>TRX00276</t>
  </si>
  <si>
    <t>TRX00143</t>
  </si>
  <si>
    <t>N/A</t>
  </si>
  <si>
    <t>TRX00011</t>
  </si>
  <si>
    <t>TRX00037</t>
  </si>
  <si>
    <t>TRX00043</t>
  </si>
  <si>
    <t>TRX00155</t>
  </si>
  <si>
    <t>TRX00214</t>
  </si>
  <si>
    <t>TRX00245</t>
  </si>
  <si>
    <t>TRX00257</t>
  </si>
  <si>
    <t>TRX00073</t>
  </si>
  <si>
    <t>TRX00171</t>
  </si>
  <si>
    <t>TRX00140</t>
  </si>
  <si>
    <t>TRX00188</t>
  </si>
  <si>
    <t>TRX00032</t>
  </si>
  <si>
    <t>TRX00004</t>
  </si>
  <si>
    <t>TRX00275</t>
  </si>
  <si>
    <t>TRX00006</t>
  </si>
  <si>
    <t>TRX00173</t>
  </si>
  <si>
    <t>TRX00244</t>
  </si>
  <si>
    <t>TRX00157</t>
  </si>
  <si>
    <t>TRX00146</t>
  </si>
  <si>
    <t>TRX00172</t>
  </si>
  <si>
    <t>NEW</t>
  </si>
  <si>
    <t>TRX00153</t>
  </si>
  <si>
    <t>TRX00193</t>
  </si>
  <si>
    <t>TRX00163</t>
  </si>
  <si>
    <t>TRX00081</t>
  </si>
  <si>
    <t>TRX00150</t>
  </si>
  <si>
    <t>TRX00065</t>
  </si>
  <si>
    <t>TRX00020</t>
  </si>
  <si>
    <t>TRX00019</t>
  </si>
  <si>
    <t>TRX00246</t>
  </si>
  <si>
    <t>TRX00063</t>
  </si>
  <si>
    <t>TRX00078</t>
  </si>
  <si>
    <t>TRX00045</t>
  </si>
  <si>
    <t>TRX00156</t>
  </si>
  <si>
    <t>TRX00051</t>
  </si>
  <si>
    <t>TRX00287</t>
  </si>
  <si>
    <t>TRX00112</t>
  </si>
  <si>
    <t>TRX00161</t>
  </si>
  <si>
    <t>TRX00039</t>
  </si>
  <si>
    <t>TRX00072</t>
  </si>
  <si>
    <t>TRX00080</t>
  </si>
  <si>
    <t>TRX00190</t>
  </si>
  <si>
    <t>mogadishu</t>
  </si>
  <si>
    <t>TRX00124</t>
  </si>
  <si>
    <t>TRX00128</t>
  </si>
  <si>
    <t>TRX00118</t>
  </si>
  <si>
    <t>TRX00258</t>
  </si>
  <si>
    <t>TRX00233</t>
  </si>
  <si>
    <t>TRX00239</t>
  </si>
  <si>
    <t>TRX00021</t>
  </si>
  <si>
    <t>TRX00229</t>
  </si>
  <si>
    <t>TRX00090</t>
  </si>
  <si>
    <t>TRX00186</t>
  </si>
  <si>
    <t>TRX00264</t>
  </si>
  <si>
    <t>TRX00255</t>
  </si>
  <si>
    <t>TRX00095</t>
  </si>
  <si>
    <t>TRX00125</t>
  </si>
  <si>
    <t>TRX00243</t>
  </si>
  <si>
    <t>TRX00040</t>
  </si>
  <si>
    <t>TRX00292</t>
  </si>
  <si>
    <t>TRX00230</t>
  </si>
  <si>
    <t>TRX00060</t>
  </si>
  <si>
    <t>kismayo</t>
  </si>
  <si>
    <t>TRX00010</t>
  </si>
  <si>
    <t>TRX00107</t>
  </si>
  <si>
    <t>TRX00192</t>
  </si>
  <si>
    <t>TRX00170</t>
  </si>
  <si>
    <t>TRX00027</t>
  </si>
  <si>
    <t>TRX00075</t>
  </si>
  <si>
    <t>TRX00067</t>
  </si>
  <si>
    <t>TRX00177</t>
  </si>
  <si>
    <t>TRX00279</t>
  </si>
  <si>
    <t>HARGEISA</t>
  </si>
  <si>
    <t>TRX00178</t>
  </si>
  <si>
    <t>TRX00023</t>
  </si>
  <si>
    <t>TRX00259</t>
  </si>
  <si>
    <t>TRX00187</t>
  </si>
  <si>
    <t>TRX00223</t>
  </si>
  <si>
    <t>TRX00265</t>
  </si>
  <si>
    <t>TRX00018</t>
  </si>
  <si>
    <t>TRX00286</t>
  </si>
  <si>
    <t>MISSING-5</t>
  </si>
  <si>
    <t>MISSING-30</t>
  </si>
  <si>
    <t>MISSING-47</t>
  </si>
  <si>
    <t>MISSING-79</t>
  </si>
  <si>
    <t>MISSING-82</t>
  </si>
  <si>
    <t>MISSING-88</t>
  </si>
  <si>
    <t>MISSING-125</t>
  </si>
  <si>
    <t>MISSING-150</t>
  </si>
  <si>
    <t>MISSING-151</t>
  </si>
  <si>
    <t>MISSING-230</t>
  </si>
  <si>
    <t>MISSING-231</t>
  </si>
  <si>
    <t>MISSING-253</t>
  </si>
  <si>
    <t>MISSING-274</t>
  </si>
  <si>
    <t>MISSING-281</t>
  </si>
  <si>
    <t>MISSING-300</t>
  </si>
  <si>
    <t>Other</t>
  </si>
  <si>
    <t>No Date Entered</t>
  </si>
  <si>
    <t>Customer Purchase &amp; Sales Performance Analysis</t>
  </si>
  <si>
    <t>Transactions</t>
  </si>
  <si>
    <t>Units Sold</t>
  </si>
  <si>
    <t>Returning Sales</t>
  </si>
  <si>
    <t>Top Category</t>
  </si>
  <si>
    <t>Top City</t>
  </si>
  <si>
    <t>New Sales Rev.</t>
  </si>
  <si>
    <t>Avg. Sales</t>
  </si>
  <si>
    <t>Grand Total</t>
  </si>
  <si>
    <t>Sum of Unit_Price</t>
  </si>
  <si>
    <t>Row Labels</t>
  </si>
  <si>
    <t>-</t>
  </si>
  <si>
    <t>Details for Sum of Unit_Price</t>
  </si>
  <si>
    <t>2025</t>
  </si>
  <si>
    <t>2026</t>
  </si>
  <si>
    <t>2099</t>
  </si>
  <si>
    <t>Jan</t>
  </si>
  <si>
    <t>Feb</t>
  </si>
  <si>
    <t>Mar</t>
  </si>
  <si>
    <t>Apr</t>
  </si>
  <si>
    <t>May</t>
  </si>
  <si>
    <t>Jun</t>
  </si>
  <si>
    <t>Jul</t>
  </si>
  <si>
    <t>Aug</t>
  </si>
  <si>
    <t>Sep</t>
  </si>
  <si>
    <t>Oct</t>
  </si>
  <si>
    <t>Nov</t>
  </si>
  <si>
    <t>Dec</t>
  </si>
  <si>
    <t>Total Sales Rev.</t>
  </si>
  <si>
    <t>Revenue</t>
  </si>
  <si>
    <t>Raw_Student_Data (300 rows) was inspected before any cleaning took place; it was never modified. Issues found:
- 5 completely blank rows (rows 41, 91, 151, 211, 271).
- 19 rows involved in 9 duplicate Student_ID groups (some exact duplicates, two groups with a conflicting field - see Section J).
- Extra spaces and inconsistent capitalization in Full_Name (e.g. 'FADUMO FARAH', extra leading/trailing spaces).
- Inconsistent Gender values: Male/male/MALE/M and Female/female/FEMALE/F.
- Inconsistent Status values: Active/active/ACTIVE, Deferred/defer, Graduated/graduated.
- Inconsistent City casing: Garowe/GAROWE, Mogadishu/MOGADISHU/mogadishu, Hargeisa/hargeisa, Kismayo/kismayo.
- Inconsistent/contradictory Department data: Department_Code used 7 values including an invalid code 'CSE', while Department_Entered used 11 spelling/casing variants of the same 6 departments; several rows had a Code and Entered name that did not match each other (e.g. Code=ECO with Entered='computer science'; Code=CS with Entered='Engineering'; Code=ECO with Entered='BUSINESS ADMIN').
- Invalid GPA values above the 4.0 scale maximum (3 records at 4.80).
- Invalid Attendance values above 100% (3 records at 115%).
- Missing values in City (5), Department_Code (1), Attendance (5), GPA (5), and Email (5), in addition to the fields blanked out by the 5 fully-blank rows.</t>
  </si>
  <si>
    <t>Data Inspection, Cleaning And Missing Value Log</t>
  </si>
  <si>
    <t>Data Inspection</t>
  </si>
  <si>
    <t>Raw_Student_Data (300 rows) was inspected before any cleaning took place; it was never modified. Issues found:</t>
  </si>
  <si>
    <t xml:space="preserve"> 16 rows involved in 8 duplicate Student_ID groups (some exact duplicates, two groups with a conflicting field).</t>
  </si>
  <si>
    <t xml:space="preserve">Clothing </t>
  </si>
  <si>
    <t>15 Missing Id's</t>
  </si>
  <si>
    <t>15 Missing Dates</t>
  </si>
  <si>
    <t>17 Missing Customer Types</t>
  </si>
  <si>
    <t>1 Null Customer Types</t>
  </si>
  <si>
    <t>16 Missing Product Categories</t>
  </si>
  <si>
    <t>1 (-) Product Categories</t>
  </si>
  <si>
    <t>3 Unknown Quantities</t>
  </si>
  <si>
    <t>16 Missing Quantities</t>
  </si>
  <si>
    <t>IF(OR(B2="", B2="unknown"), 1, B2)</t>
  </si>
  <si>
    <t>Missing Product Categories</t>
  </si>
  <si>
    <t>Missing ID'S</t>
  </si>
  <si>
    <t>Duplicate ID'S</t>
  </si>
  <si>
    <t>Missing Dates</t>
  </si>
  <si>
    <t>Null &amp; Missing Customer Types</t>
  </si>
  <si>
    <t>Unknown &amp; Missing Quantities</t>
  </si>
  <si>
    <t>N/A, Unknown and Missing U.Prices</t>
  </si>
  <si>
    <t>Unknown &amp; Missing Cities</t>
  </si>
  <si>
    <t>NO</t>
  </si>
  <si>
    <t>16 Duplicate Id's</t>
  </si>
  <si>
    <t>1 Null</t>
  </si>
  <si>
    <t>1 N/A</t>
  </si>
  <si>
    <t>16 Missing Unit Prices</t>
  </si>
  <si>
    <t>1 Negative Row</t>
  </si>
  <si>
    <t>17 Missing Cities and 1 Unknown</t>
  </si>
  <si>
    <t xml:space="preserve">17 Missing Cities </t>
  </si>
  <si>
    <t>1 Unknown</t>
  </si>
  <si>
    <t xml:space="preserve">17 Missing Customer Types       
</t>
  </si>
  <si>
    <t>1 Null, 1 N/A And 1 Negative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</si>
</sst>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yyyy\-mm\-dd"/>
    <numFmt numFmtId="165" formatCode="\$#,##0.00"/>
    <numFmt numFmtId="166" formatCode="&quot;$&quot;#,##0.00"/>
  </numFmts>
  <fonts count="24">
    <font>
      <sz val="11"/>
      <color theme="1"/>
      <name val="Aptos Narrow"/>
      <family val="2"/>
      <scheme val="minor"/>
    </font>
    <font>
      <b/>
      <sz val="11"/>
      <name val="Carlito"/>
    </font>
    <font>
      <sz val="24"/>
      <color theme="1"/>
      <name val="Aptos Narrow"/>
      <family val="2"/>
      <scheme val="minor"/>
    </font>
    <font>
      <sz val="11"/>
      <color theme="1"/>
      <name val="Aptos Narrow"/>
      <family val="2"/>
      <scheme val="minor"/>
    </font>
    <font>
      <sz val="11"/>
      <name val="Carlito"/>
    </font>
    <font>
      <b/>
      <sz val="11"/>
      <color theme="1"/>
      <name val="Aptos Narrow"/>
      <family val="2"/>
      <scheme val="minor"/>
    </font>
    <font>
      <b/>
      <sz val="24"/>
      <color theme="1"/>
      <name val="Montserrat"/>
    </font>
    <font>
      <b/>
      <sz val="24"/>
      <color theme="0" tint="-4.9989318521683403E-2"/>
      <name val="Montserrat"/>
    </font>
    <font>
      <b/>
      <sz val="36"/>
      <color theme="1" tint="0.14999847407452621"/>
      <name val="Montserrat"/>
    </font>
    <font>
      <b/>
      <i/>
      <sz val="22"/>
      <color theme="1"/>
      <name val="Montserrat"/>
    </font>
    <font>
      <b/>
      <sz val="22"/>
      <color theme="1"/>
      <name val="Montserrat"/>
    </font>
    <font>
      <b/>
      <sz val="24"/>
      <color theme="0"/>
      <name val="Montserrat"/>
    </font>
    <font>
      <b/>
      <sz val="14"/>
      <name val="Montserrat"/>
    </font>
    <font>
      <b/>
      <i/>
      <sz val="12"/>
      <color theme="1"/>
      <name val="Montserrat"/>
    </font>
    <font>
      <sz val="11"/>
      <color theme="1"/>
      <name val="Montserrat"/>
    </font>
    <font>
      <b/>
      <sz val="10"/>
      <name val="Montserrat"/>
    </font>
    <font>
      <b/>
      <sz val="14"/>
      <color theme="1"/>
      <name val="Montserrat"/>
    </font>
    <font>
      <b/>
      <sz val="10"/>
      <color theme="1"/>
      <name val="Montserrat"/>
    </font>
    <font>
      <b/>
      <sz val="11"/>
      <name val="Montserrat"/>
    </font>
    <font>
      <sz val="11"/>
      <name val="Montserrat"/>
    </font>
    <font>
      <sz val="14"/>
      <color theme="1"/>
      <name val="Montserrat"/>
    </font>
    <font>
      <b/>
      <sz val="11"/>
      <color rgb="FF000000"/>
      <name val="Montserrat"/>
    </font>
    <font>
      <b/>
      <sz val="14"/>
      <color rgb="FF000000"/>
      <name val="Montserrat"/>
    </font>
    <font>
      <b/>
      <i/>
      <sz val="14"/>
      <color theme="1"/>
      <name val="Montserrat"/>
    </font>
  </fonts>
  <fills count="6">
    <fill>
      <patternFill patternType="none"/>
    </fill>
    <fill>
      <patternFill patternType="gray125"/>
    </fill>
    <fill>
      <patternFill patternType="solid">
        <fgColor rgb="FFD9EAF7"/>
      </patternFill>
    </fill>
    <fill>
      <patternFill patternType="solid">
        <fgColor theme="3" tint="0.89999084444715716"/>
        <bgColor indexed="64"/>
      </patternFill>
    </fill>
    <fill>
      <patternFill patternType="solid">
        <fgColor theme="3" tint="0.749992370372631"/>
        <bgColor indexed="64"/>
      </patternFill>
    </fill>
    <fill>
      <patternFill patternType="solid">
        <fgColor theme="1"/>
        <bgColor indexed="64"/>
      </patternFill>
    </fill>
  </fills>
  <borders count="1">
    <border>
      <left/>
      <right/>
      <top/>
      <bottom/>
      <diagonal/>
    </border>
  </borders>
  <cellStyleXfs count="4">
    <xf numFmtId="0" fontId="0" fillId="0" borderId="0"/>
    <xf numFmtId="44" fontId="3" fillId="0" borderId="0" applyFont="0" applyFill="0" applyBorder="0" applyAlignment="0" applyProtection="0"/>
    <xf numFmtId="43" fontId="3" fillId="0" borderId="0" applyFont="0" applyFill="0" applyBorder="0" applyAlignment="0" applyProtection="0"/>
    <xf numFmtId="0" fontId="4" fillId="0" borderId="0"/>
  </cellStyleXfs>
  <cellXfs count="53">
    <xf numFmtId="0" fontId="0" fillId="0" borderId="0" xfId="0"/>
    <xf numFmtId="0" fontId="1" fillId="2"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166" fontId="0" fillId="0" borderId="0" xfId="1" applyNumberFormat="1" applyFont="1"/>
    <xf numFmtId="0" fontId="4" fillId="2" borderId="0" xfId="0" applyFont="1" applyFill="1" applyAlignment="1">
      <alignment horizontal="center" vertical="center"/>
    </xf>
    <xf numFmtId="0" fontId="4" fillId="0" borderId="0" xfId="3"/>
    <xf numFmtId="0" fontId="1" fillId="2" borderId="0" xfId="3" applyFont="1" applyFill="1" applyAlignment="1">
      <alignment horizontal="center" vertical="center"/>
    </xf>
    <xf numFmtId="164" fontId="4" fillId="0" borderId="0" xfId="3" applyNumberFormat="1"/>
    <xf numFmtId="165" fontId="4" fillId="0" borderId="0" xfId="3" applyNumberFormat="1"/>
    <xf numFmtId="14" fontId="0" fillId="0" borderId="0" xfId="0" applyNumberFormat="1"/>
    <xf numFmtId="0" fontId="5" fillId="0" borderId="0" xfId="0" applyFont="1"/>
    <xf numFmtId="166" fontId="0" fillId="0" borderId="0" xfId="0" applyNumberFormat="1"/>
    <xf numFmtId="0" fontId="9" fillId="3" borderId="0" xfId="0" applyFont="1" applyFill="1" applyAlignment="1">
      <alignment horizontal="center" vertical="center"/>
    </xf>
    <xf numFmtId="3" fontId="6" fillId="3" borderId="0" xfId="0" applyNumberFormat="1" applyFont="1" applyFill="1" applyAlignment="1">
      <alignment horizontal="center" vertical="center"/>
    </xf>
    <xf numFmtId="0" fontId="8" fillId="3" borderId="0" xfId="0" applyFont="1" applyFill="1" applyAlignment="1">
      <alignment vertical="center"/>
    </xf>
    <xf numFmtId="0" fontId="0" fillId="3" borderId="0" xfId="0" applyFill="1"/>
    <xf numFmtId="3" fontId="2" fillId="3" borderId="0" xfId="0" applyNumberFormat="1" applyFont="1" applyFill="1" applyAlignment="1">
      <alignment horizontal="center" vertical="center"/>
    </xf>
    <xf numFmtId="3" fontId="7" fillId="3" borderId="0" xfId="0" applyNumberFormat="1" applyFont="1" applyFill="1" applyAlignment="1">
      <alignment horizontal="center" vertical="center"/>
    </xf>
    <xf numFmtId="0" fontId="14" fillId="0" borderId="0" xfId="0" applyFont="1"/>
    <xf numFmtId="0" fontId="15" fillId="0" borderId="0" xfId="0" applyFont="1" applyAlignment="1">
      <alignment vertical="top" wrapText="1"/>
    </xf>
    <xf numFmtId="0" fontId="16" fillId="0" borderId="0" xfId="0" applyFont="1" applyAlignment="1">
      <alignment horizontal="center" vertical="center"/>
    </xf>
    <xf numFmtId="0" fontId="16" fillId="0" borderId="0" xfId="0" applyFont="1" applyAlignment="1">
      <alignment vertical="center"/>
    </xf>
    <xf numFmtId="0" fontId="18" fillId="2" borderId="0" xfId="3" applyFont="1" applyFill="1" applyAlignment="1">
      <alignment horizontal="center" vertical="center"/>
    </xf>
    <xf numFmtId="0" fontId="19" fillId="0" borderId="0" xfId="3" applyFont="1"/>
    <xf numFmtId="164" fontId="19" fillId="0" borderId="0" xfId="3" applyNumberFormat="1" applyFont="1"/>
    <xf numFmtId="165" fontId="19" fillId="0" borderId="0" xfId="3" applyNumberFormat="1" applyFont="1"/>
    <xf numFmtId="0" fontId="12" fillId="0" borderId="0" xfId="3" applyFont="1"/>
    <xf numFmtId="164" fontId="12" fillId="0" borderId="0" xfId="3" applyNumberFormat="1" applyFont="1"/>
    <xf numFmtId="0" fontId="14" fillId="0" borderId="0" xfId="0" applyFont="1" applyAlignment="1">
      <alignment vertical="top"/>
    </xf>
    <xf numFmtId="0" fontId="12" fillId="0" borderId="0" xfId="3" applyFont="1" applyAlignment="1">
      <alignment vertical="center"/>
    </xf>
    <xf numFmtId="165" fontId="12" fillId="0" borderId="0" xfId="3" applyNumberFormat="1" applyFont="1"/>
    <xf numFmtId="0" fontId="21" fillId="0" borderId="0" xfId="0" applyFont="1" applyAlignment="1">
      <alignment vertical="center"/>
    </xf>
    <xf numFmtId="0" fontId="22" fillId="0" borderId="0" xfId="0" applyFont="1" applyAlignment="1">
      <alignment vertical="center"/>
    </xf>
    <xf numFmtId="0" fontId="16" fillId="0" borderId="0" xfId="0" applyFont="1" applyAlignment="1">
      <alignment horizontal="center" vertical="center"/>
    </xf>
    <xf numFmtId="0" fontId="14" fillId="0" borderId="0" xfId="0" applyFont="1" applyAlignment="1">
      <alignment horizontal="center" vertical="center"/>
    </xf>
    <xf numFmtId="0" fontId="17" fillId="0" borderId="0" xfId="0" applyFont="1" applyAlignment="1">
      <alignment horizontal="center" vertical="center" wrapText="1"/>
    </xf>
    <xf numFmtId="0" fontId="12" fillId="3" borderId="0" xfId="0" applyFont="1" applyFill="1" applyAlignment="1">
      <alignment horizontal="center" vertical="center" wrapText="1"/>
    </xf>
    <xf numFmtId="0" fontId="16" fillId="3" borderId="0" xfId="0" applyFont="1" applyFill="1" applyAlignment="1">
      <alignment horizontal="center" vertical="center"/>
    </xf>
    <xf numFmtId="0" fontId="13" fillId="0" borderId="0" xfId="0" applyFont="1" applyAlignment="1">
      <alignment horizontal="center" vertical="center" wrapText="1"/>
    </xf>
    <xf numFmtId="0" fontId="23" fillId="0" borderId="0" xfId="0" applyFont="1" applyAlignment="1">
      <alignment horizontal="center" vertical="center"/>
    </xf>
    <xf numFmtId="0" fontId="20" fillId="0" borderId="0" xfId="0" applyFont="1" applyAlignment="1">
      <alignment horizontal="center" vertical="center"/>
    </xf>
    <xf numFmtId="0" fontId="16" fillId="0" borderId="0" xfId="0" applyFont="1" applyAlignment="1">
      <alignment horizontal="left" vertical="center"/>
    </xf>
    <xf numFmtId="0" fontId="8" fillId="3" borderId="0" xfId="0" applyFont="1" applyFill="1" applyAlignment="1">
      <alignment horizontal="center" vertical="center"/>
    </xf>
    <xf numFmtId="0" fontId="9" fillId="4" borderId="0" xfId="0" applyFont="1" applyFill="1" applyAlignment="1">
      <alignment horizontal="center" vertical="center"/>
    </xf>
    <xf numFmtId="0" fontId="10" fillId="4" borderId="0" xfId="0" applyFont="1" applyFill="1" applyAlignment="1">
      <alignment horizontal="center" vertical="center"/>
    </xf>
    <xf numFmtId="3" fontId="11" fillId="5" borderId="0" xfId="0" applyNumberFormat="1" applyFont="1" applyFill="1" applyAlignment="1">
      <alignment horizontal="center" vertical="center"/>
    </xf>
    <xf numFmtId="3" fontId="7" fillId="5" borderId="0" xfId="0" applyNumberFormat="1" applyFont="1" applyFill="1" applyAlignment="1">
      <alignment horizontal="center" vertical="center"/>
    </xf>
    <xf numFmtId="0" fontId="11" fillId="5" borderId="0" xfId="0" applyFont="1" applyFill="1" applyAlignment="1">
      <alignment horizontal="center" vertical="center"/>
    </xf>
    <xf numFmtId="0" fontId="7" fillId="5" borderId="0" xfId="2" applyNumberFormat="1" applyFont="1" applyFill="1" applyAlignment="1">
      <alignment horizontal="center" vertical="center"/>
    </xf>
    <xf numFmtId="0" fontId="7" fillId="5" borderId="0" xfId="0" applyFont="1" applyFill="1" applyAlignment="1">
      <alignment horizontal="center" vertical="center" wrapText="1"/>
    </xf>
    <xf numFmtId="0" fontId="7" fillId="5" borderId="0" xfId="0" applyFont="1" applyFill="1" applyAlignment="1">
      <alignment horizontal="center" vertical="center"/>
    </xf>
  </cellXfs>
  <cellStyles count="4">
    <cellStyle name="Comma" xfId="2" builtinId="3"/>
    <cellStyle name="Currency" xfId="1" builtinId="4"/>
    <cellStyle name="Normal" xfId="0" builtinId="0"/>
    <cellStyle name="Normal 2" xfId="3" xr:uid="{E1509A87-B853-4BC6-90A2-675B9058F244}"/>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166" formatCode="&quot;$&quot;#,##0.00"/>
    </dxf>
    <dxf>
      <numFmt numFmtId="166" formatCode="&quot;$&quot;#,##0.00"/>
    </dxf>
    <dxf>
      <numFmt numFmtId="164" formatCode="yyyy\-mm\-dd"/>
    </dxf>
    <dxf>
      <font>
        <b/>
        <i val="0"/>
        <strike val="0"/>
        <condense val="0"/>
        <extend val="0"/>
        <outline val="0"/>
        <shadow val="0"/>
        <u val="none"/>
        <vertAlign val="baseline"/>
        <sz val="11"/>
        <color auto="1"/>
        <name val="Carlito"/>
        <scheme val="none"/>
      </font>
      <fill>
        <patternFill patternType="solid">
          <fgColor indexed="64"/>
          <bgColor rgb="FFD9EAF7"/>
        </patternFill>
      </fill>
      <alignment horizontal="center" vertical="center" textRotation="0" wrapText="0" indent="0" justifyLastLine="0" shrinkToFit="0" readingOrder="0"/>
    </dxf>
    <dxf>
      <numFmt numFmtId="19" formatCode="m/d/yyyy"/>
    </dxf>
  </dxfs>
  <tableStyles count="0" defaultTableStyle="TableStyleMedium2" defaultPivotStyle="PivotStyleLight16"/>
  <colors>
    <mruColors>
      <color rgb="FFFFCC00"/>
      <color rgb="FF6600FF"/>
      <color rgb="FFD60093"/>
      <color rgb="FF0000FF"/>
      <color rgb="FF11DDED"/>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 Excel Project.xlsx]Pivot 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Tables'!$A$3:$A$9</c:f>
              <c:strCache>
                <c:ptCount val="6"/>
                <c:pt idx="0">
                  <c:v>Clothing</c:v>
                </c:pt>
                <c:pt idx="1">
                  <c:v>Electronics</c:v>
                </c:pt>
                <c:pt idx="2">
                  <c:v>Groceries</c:v>
                </c:pt>
                <c:pt idx="3">
                  <c:v>Home &amp; Living</c:v>
                </c:pt>
                <c:pt idx="4">
                  <c:v>Other</c:v>
                </c:pt>
                <c:pt idx="5">
                  <c:v>Stationery</c:v>
                </c:pt>
              </c:strCache>
            </c:strRef>
          </c:cat>
          <c:val>
            <c:numRef>
              <c:f>'Pivot Tables'!$B$3:$B$9</c:f>
              <c:numCache>
                <c:formatCode>"$"#,##0.00</c:formatCode>
                <c:ptCount val="6"/>
                <c:pt idx="0">
                  <c:v>2742.4099999999994</c:v>
                </c:pt>
                <c:pt idx="1">
                  <c:v>16457.43</c:v>
                </c:pt>
                <c:pt idx="2">
                  <c:v>1412.3700000000001</c:v>
                </c:pt>
                <c:pt idx="3">
                  <c:v>3361.23</c:v>
                </c:pt>
                <c:pt idx="4">
                  <c:v>1048.6899999999998</c:v>
                </c:pt>
                <c:pt idx="5">
                  <c:v>250.89000000000004</c:v>
                </c:pt>
              </c:numCache>
            </c:numRef>
          </c:val>
          <c:smooth val="0"/>
          <c:extLst>
            <c:ext xmlns:c16="http://schemas.microsoft.com/office/drawing/2014/chart" uri="{C3380CC4-5D6E-409C-BE32-E72D297353CC}">
              <c16:uniqueId val="{00000000-42BD-4B07-BEBE-367ED7A4261D}"/>
            </c:ext>
          </c:extLst>
        </c:ser>
        <c:dLbls>
          <c:showLegendKey val="0"/>
          <c:showVal val="0"/>
          <c:showCatName val="0"/>
          <c:showSerName val="0"/>
          <c:showPercent val="0"/>
          <c:showBubbleSize val="0"/>
        </c:dLbls>
        <c:marker val="1"/>
        <c:smooth val="0"/>
        <c:axId val="1635417104"/>
        <c:axId val="1631126896"/>
      </c:lineChart>
      <c:catAx>
        <c:axId val="163541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126896"/>
        <c:crosses val="autoZero"/>
        <c:auto val="1"/>
        <c:lblAlgn val="ctr"/>
        <c:lblOffset val="100"/>
        <c:noMultiLvlLbl val="0"/>
      </c:catAx>
      <c:valAx>
        <c:axId val="1631126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1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 Excel Project.xlsx]Pivot Tables!PivotTable7</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latin typeface="Montserrat" pitchFamily="2" charset="0"/>
              </a:rPr>
              <a:t>Sales By City</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sp3d/>
        </c:spPr>
      </c:pivotFmt>
      <c:pivotFmt>
        <c:idx val="4"/>
        <c:spPr>
          <a:solidFill>
            <a:schemeClr val="tx2">
              <a:lumMod val="75000"/>
              <a:lumOff val="25000"/>
            </a:schemeClr>
          </a:solidFill>
          <a:ln>
            <a:noFill/>
          </a:ln>
          <a:effectLst/>
          <a:sp3d/>
        </c:spPr>
      </c:pivotFmt>
      <c:pivotFmt>
        <c:idx val="5"/>
        <c:spPr>
          <a:solidFill>
            <a:schemeClr val="accent3">
              <a:lumMod val="75000"/>
            </a:schemeClr>
          </a:solidFill>
          <a:ln>
            <a:noFill/>
          </a:ln>
          <a:effectLst/>
          <a:sp3d/>
        </c:spPr>
      </c:pivotFmt>
      <c:pivotFmt>
        <c:idx val="6"/>
        <c:spPr>
          <a:solidFill>
            <a:schemeClr val="accent2">
              <a:lumMod val="75000"/>
            </a:schemeClr>
          </a:solidFill>
          <a:ln>
            <a:noFill/>
          </a:ln>
          <a:effectLst/>
          <a:sp3d/>
        </c:spPr>
      </c:pivotFmt>
      <c:pivotFmt>
        <c:idx val="7"/>
        <c:spPr>
          <a:solidFill>
            <a:schemeClr val="bg2">
              <a:lumMod val="10000"/>
            </a:schemeClr>
          </a:solidFill>
          <a:ln>
            <a:noFill/>
          </a:ln>
          <a:effectLst/>
          <a:sp3d/>
        </c:spPr>
      </c:pivotFmt>
      <c:pivotFmt>
        <c:idx val="8"/>
        <c:spPr>
          <a:solidFill>
            <a:schemeClr val="accent5">
              <a:lumMod val="50000"/>
            </a:schemeClr>
          </a:solidFill>
          <a:ln>
            <a:noFill/>
          </a:ln>
          <a:effectLst/>
          <a:sp3d/>
        </c:spPr>
      </c:pivotFmt>
      <c:pivotFmt>
        <c:idx val="9"/>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Tables'!$E$2</c:f>
              <c:strCache>
                <c:ptCount val="1"/>
                <c:pt idx="0">
                  <c:v>Total</c:v>
                </c:pt>
              </c:strCache>
            </c:strRef>
          </c:tx>
          <c:spPr>
            <a:solidFill>
              <a:schemeClr val="accent1"/>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7-9F2B-45FD-BF95-CA9ECC74183F}"/>
              </c:ext>
            </c:extLst>
          </c:dPt>
          <c:dPt>
            <c:idx val="1"/>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6-9F2B-45FD-BF95-CA9ECC74183F}"/>
              </c:ext>
            </c:extLst>
          </c:dPt>
          <c:dPt>
            <c:idx val="2"/>
            <c:invertIfNegative val="0"/>
            <c:bubble3D val="0"/>
            <c:spPr>
              <a:solidFill>
                <a:schemeClr val="bg2">
                  <a:lumMod val="10000"/>
                </a:schemeClr>
              </a:solidFill>
              <a:ln>
                <a:noFill/>
              </a:ln>
              <a:effectLst/>
              <a:sp3d/>
            </c:spPr>
            <c:extLst>
              <c:ext xmlns:c16="http://schemas.microsoft.com/office/drawing/2014/chart" uri="{C3380CC4-5D6E-409C-BE32-E72D297353CC}">
                <c16:uniqueId val="{00000005-9F2B-45FD-BF95-CA9ECC74183F}"/>
              </c:ext>
            </c:extLst>
          </c:dPt>
          <c:dPt>
            <c:idx val="3"/>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4-9F2B-45FD-BF95-CA9ECC74183F}"/>
              </c:ext>
            </c:extLst>
          </c:dPt>
          <c:dPt>
            <c:idx val="4"/>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3-9F2B-45FD-BF95-CA9ECC74183F}"/>
              </c:ext>
            </c:extLst>
          </c:dPt>
          <c:dPt>
            <c:idx val="5"/>
            <c:invertIfNegative val="0"/>
            <c:bubble3D val="0"/>
            <c:spPr>
              <a:solidFill>
                <a:srgbClr val="C00000"/>
              </a:solidFill>
              <a:ln>
                <a:noFill/>
              </a:ln>
              <a:effectLst/>
              <a:sp3d/>
            </c:spPr>
            <c:extLst>
              <c:ext xmlns:c16="http://schemas.microsoft.com/office/drawing/2014/chart" uri="{C3380CC4-5D6E-409C-BE32-E72D297353CC}">
                <c16:uniqueId val="{00000001-9F2B-45FD-BF95-CA9ECC74183F}"/>
              </c:ext>
            </c:extLst>
          </c:dPt>
          <c:dPt>
            <c:idx val="6"/>
            <c:invertIfNegative val="0"/>
            <c:bubble3D val="0"/>
            <c:spPr>
              <a:solidFill>
                <a:schemeClr val="tx2">
                  <a:lumMod val="75000"/>
                  <a:lumOff val="25000"/>
                </a:schemeClr>
              </a:solidFill>
              <a:ln>
                <a:noFill/>
              </a:ln>
              <a:effectLst/>
              <a:sp3d/>
            </c:spPr>
            <c:extLst>
              <c:ext xmlns:c16="http://schemas.microsoft.com/office/drawing/2014/chart" uri="{C3380CC4-5D6E-409C-BE32-E72D297353CC}">
                <c16:uniqueId val="{00000002-9F2B-45FD-BF95-CA9ECC74183F}"/>
              </c:ext>
            </c:extLst>
          </c:dPt>
          <c:cat>
            <c:strRef>
              <c:f>'Pivot Tables'!$D$3:$D$10</c:f>
              <c:strCache>
                <c:ptCount val="7"/>
                <c:pt idx="0">
                  <c:v>Baidoa</c:v>
                </c:pt>
                <c:pt idx="1">
                  <c:v>Bosaso</c:v>
                </c:pt>
                <c:pt idx="2">
                  <c:v>Garowe</c:v>
                </c:pt>
                <c:pt idx="3">
                  <c:v>Hargeisa</c:v>
                </c:pt>
                <c:pt idx="4">
                  <c:v>Kismayo</c:v>
                </c:pt>
                <c:pt idx="5">
                  <c:v>Mogadishu</c:v>
                </c:pt>
                <c:pt idx="6">
                  <c:v>Other</c:v>
                </c:pt>
              </c:strCache>
            </c:strRef>
          </c:cat>
          <c:val>
            <c:numRef>
              <c:f>'Pivot Tables'!$E$3:$E$10</c:f>
              <c:numCache>
                <c:formatCode>"$"#,##0.00</c:formatCode>
                <c:ptCount val="7"/>
                <c:pt idx="0">
                  <c:v>2259.8099999999995</c:v>
                </c:pt>
                <c:pt idx="1">
                  <c:v>3620.11</c:v>
                </c:pt>
                <c:pt idx="2">
                  <c:v>1012.78</c:v>
                </c:pt>
                <c:pt idx="3">
                  <c:v>3657.37</c:v>
                </c:pt>
                <c:pt idx="4">
                  <c:v>2160.2199999999993</c:v>
                </c:pt>
                <c:pt idx="5">
                  <c:v>9405.3500000000022</c:v>
                </c:pt>
                <c:pt idx="6">
                  <c:v>3157.3800000000006</c:v>
                </c:pt>
              </c:numCache>
            </c:numRef>
          </c:val>
          <c:extLst>
            <c:ext xmlns:c16="http://schemas.microsoft.com/office/drawing/2014/chart" uri="{C3380CC4-5D6E-409C-BE32-E72D297353CC}">
              <c16:uniqueId val="{00000000-9F2B-45FD-BF95-CA9ECC74183F}"/>
            </c:ext>
          </c:extLst>
        </c:ser>
        <c:dLbls>
          <c:showLegendKey val="0"/>
          <c:showVal val="0"/>
          <c:showCatName val="0"/>
          <c:showSerName val="0"/>
          <c:showPercent val="0"/>
          <c:showBubbleSize val="0"/>
        </c:dLbls>
        <c:gapWidth val="150"/>
        <c:shape val="box"/>
        <c:axId val="1635448192"/>
        <c:axId val="1631097136"/>
        <c:axId val="0"/>
      </c:bar3DChart>
      <c:catAx>
        <c:axId val="1635448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crossAx val="1631097136"/>
        <c:crosses val="autoZero"/>
        <c:auto val="1"/>
        <c:lblAlgn val="ctr"/>
        <c:lblOffset val="100"/>
        <c:noMultiLvlLbl val="0"/>
      </c:catAx>
      <c:valAx>
        <c:axId val="1631097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544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 Excel Project.xlsx]Pivot Tables!PivotTable5</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ontserrat" pitchFamily="2" charset="0"/>
                <a:ea typeface="+mn-ea"/>
                <a:cs typeface="+mn-cs"/>
              </a:defRPr>
            </a:pPr>
            <a:r>
              <a:rPr lang="en-US" sz="2400" b="1">
                <a:latin typeface="Montserrat" pitchFamily="2" charset="0"/>
              </a:rPr>
              <a:t>Sales Category</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w="25400">
            <a:solidFill>
              <a:schemeClr val="lt1"/>
            </a:solidFill>
          </a:ln>
          <a:effectLst/>
          <a:sp3d contourW="25400">
            <a:contourClr>
              <a:schemeClr val="lt1"/>
            </a:contourClr>
          </a:sp3d>
        </c:spPr>
      </c:pivotFmt>
      <c:pivotFmt>
        <c:idx val="10"/>
        <c:spPr>
          <a:solidFill>
            <a:schemeClr val="accent5"/>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tx2">
              <a:lumMod val="90000"/>
              <a:lumOff val="10000"/>
            </a:schemeClr>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c:f>
              <c:strCache>
                <c:ptCount val="1"/>
                <c:pt idx="0">
                  <c:v>Total</c:v>
                </c:pt>
              </c:strCache>
            </c:strRef>
          </c:tx>
          <c:dPt>
            <c:idx val="0"/>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328-4922-A171-A640400CE839}"/>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C328-4922-A171-A640400CE83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328-4922-A171-A640400CE83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328-4922-A171-A640400CE839}"/>
              </c:ext>
            </c:extLst>
          </c:dPt>
          <c:dPt>
            <c:idx val="4"/>
            <c:bubble3D val="0"/>
            <c:spPr>
              <a:solidFill>
                <a:schemeClr val="tx2">
                  <a:lumMod val="90000"/>
                  <a:lumOff val="1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C328-4922-A171-A640400CE83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328-4922-A171-A640400CE839}"/>
              </c:ext>
            </c:extLst>
          </c:dPt>
          <c:cat>
            <c:strRef>
              <c:f>'Pivot Tables'!$A$3:$A$9</c:f>
              <c:strCache>
                <c:ptCount val="6"/>
                <c:pt idx="0">
                  <c:v>Clothing</c:v>
                </c:pt>
                <c:pt idx="1">
                  <c:v>Electronics</c:v>
                </c:pt>
                <c:pt idx="2">
                  <c:v>Groceries</c:v>
                </c:pt>
                <c:pt idx="3">
                  <c:v>Home &amp; Living</c:v>
                </c:pt>
                <c:pt idx="4">
                  <c:v>Other</c:v>
                </c:pt>
                <c:pt idx="5">
                  <c:v>Stationery</c:v>
                </c:pt>
              </c:strCache>
            </c:strRef>
          </c:cat>
          <c:val>
            <c:numRef>
              <c:f>'Pivot Tables'!$B$3:$B$9</c:f>
              <c:numCache>
                <c:formatCode>"$"#,##0.00</c:formatCode>
                <c:ptCount val="6"/>
                <c:pt idx="0">
                  <c:v>2742.4099999999994</c:v>
                </c:pt>
                <c:pt idx="1">
                  <c:v>16457.43</c:v>
                </c:pt>
                <c:pt idx="2">
                  <c:v>1412.3700000000001</c:v>
                </c:pt>
                <c:pt idx="3">
                  <c:v>3361.23</c:v>
                </c:pt>
                <c:pt idx="4">
                  <c:v>1048.6899999999998</c:v>
                </c:pt>
                <c:pt idx="5">
                  <c:v>250.89000000000004</c:v>
                </c:pt>
              </c:numCache>
            </c:numRef>
          </c:val>
          <c:extLst>
            <c:ext xmlns:c16="http://schemas.microsoft.com/office/drawing/2014/chart" uri="{C3380CC4-5D6E-409C-BE32-E72D297353CC}">
              <c16:uniqueId val="{0000000C-C328-4922-A171-A640400CE83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 Excel Project.xlsx]Pivot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pitchFamily="2" charset="0"/>
                <a:ea typeface="+mn-ea"/>
                <a:cs typeface="+mn-cs"/>
              </a:defRPr>
            </a:pPr>
            <a:r>
              <a:rPr lang="en-US" sz="2000" b="1">
                <a:latin typeface="Montserrat" pitchFamily="2" charset="0"/>
              </a:rPr>
              <a:t>New</a:t>
            </a:r>
            <a:r>
              <a:rPr lang="en-US" sz="2000" b="1" baseline="0">
                <a:latin typeface="Montserrat" pitchFamily="2" charset="0"/>
              </a:rPr>
              <a:t> Vs. Returning Customers</a:t>
            </a:r>
            <a:endParaRPr lang="en-US" sz="2000" b="1">
              <a:latin typeface="Montserrat"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pivotFmt>
      <c:pivotFmt>
        <c:idx val="2"/>
        <c:spPr>
          <a:solidFill>
            <a:srgbClr val="C0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pivotFmt>
      <c:pivotFmt>
        <c:idx val="5"/>
        <c:spPr>
          <a:solidFill>
            <a:srgbClr val="C00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pivotFmt>
      <c:pivotFmt>
        <c:idx val="8"/>
        <c:spPr>
          <a:solidFill>
            <a:srgbClr val="C00000"/>
          </a:solidFill>
          <a:ln>
            <a:noFill/>
          </a:ln>
          <a:effectLst/>
        </c:spPr>
      </c:pivotFmt>
    </c:pivotFmts>
    <c:plotArea>
      <c:layout/>
      <c:barChart>
        <c:barDir val="col"/>
        <c:grouping val="clustered"/>
        <c:varyColors val="0"/>
        <c:ser>
          <c:idx val="0"/>
          <c:order val="0"/>
          <c:tx>
            <c:strRef>
              <c:f>'Pivot Tables'!$B$11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2DE6-467B-8786-24CDF20088F3}"/>
              </c:ext>
            </c:extLst>
          </c:dPt>
          <c:dPt>
            <c:idx val="1"/>
            <c:invertIfNegative val="0"/>
            <c:bubble3D val="0"/>
            <c:spPr>
              <a:solidFill>
                <a:srgbClr val="C00000"/>
              </a:solidFill>
              <a:ln>
                <a:noFill/>
              </a:ln>
              <a:effectLst/>
            </c:spPr>
            <c:extLst>
              <c:ext xmlns:c16="http://schemas.microsoft.com/office/drawing/2014/chart" uri="{C3380CC4-5D6E-409C-BE32-E72D297353CC}">
                <c16:uniqueId val="{00000003-2DE6-467B-8786-24CDF20088F3}"/>
              </c:ext>
            </c:extLst>
          </c:dPt>
          <c:cat>
            <c:strRef>
              <c:f>'Pivot Tables'!$A$12:$A$14</c:f>
              <c:strCache>
                <c:ptCount val="2"/>
                <c:pt idx="0">
                  <c:v>New</c:v>
                </c:pt>
                <c:pt idx="1">
                  <c:v>Returning</c:v>
                </c:pt>
              </c:strCache>
            </c:strRef>
          </c:cat>
          <c:val>
            <c:numRef>
              <c:f>'Pivot Tables'!$B$12:$B$14</c:f>
              <c:numCache>
                <c:formatCode>"$"#,##0.00</c:formatCode>
                <c:ptCount val="2"/>
                <c:pt idx="0">
                  <c:v>9548.0399999999972</c:v>
                </c:pt>
                <c:pt idx="1">
                  <c:v>15724.980000000003</c:v>
                </c:pt>
              </c:numCache>
            </c:numRef>
          </c:val>
          <c:extLst>
            <c:ext xmlns:c16="http://schemas.microsoft.com/office/drawing/2014/chart" uri="{C3380CC4-5D6E-409C-BE32-E72D297353CC}">
              <c16:uniqueId val="{00000004-2DE6-467B-8786-24CDF20088F3}"/>
            </c:ext>
          </c:extLst>
        </c:ser>
        <c:dLbls>
          <c:showLegendKey val="0"/>
          <c:showVal val="0"/>
          <c:showCatName val="0"/>
          <c:showSerName val="0"/>
          <c:showPercent val="0"/>
          <c:showBubbleSize val="0"/>
        </c:dLbls>
        <c:gapWidth val="219"/>
        <c:overlap val="-27"/>
        <c:axId val="1493095920"/>
        <c:axId val="1631092336"/>
      </c:barChart>
      <c:catAx>
        <c:axId val="149309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crossAx val="1631092336"/>
        <c:crosses val="autoZero"/>
        <c:auto val="1"/>
        <c:lblAlgn val="ctr"/>
        <c:lblOffset val="100"/>
        <c:noMultiLvlLbl val="0"/>
      </c:catAx>
      <c:valAx>
        <c:axId val="1631092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3095920"/>
        <c:crosses val="autoZero"/>
        <c:crossBetween val="between"/>
      </c:valAx>
      <c:spPr>
        <a:noFill/>
        <a:ln>
          <a:noFill/>
        </a:ln>
        <a:effectLst/>
      </c:spPr>
    </c:plotArea>
    <c:legend>
      <c:legendPos val="r"/>
      <c:layout>
        <c:manualLayout>
          <c:xMode val="edge"/>
          <c:yMode val="edge"/>
          <c:x val="0.87546869870532118"/>
          <c:y val="0.48820036479215484"/>
          <c:w val="0.11354228840396095"/>
          <c:h val="0.11434738662618409"/>
        </c:manualLayout>
      </c:layout>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 Excel Project.xlsx]Pivot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pitchFamily="2" charset="0"/>
                <a:ea typeface="+mn-ea"/>
                <a:cs typeface="+mn-cs"/>
              </a:defRPr>
            </a:pPr>
            <a:r>
              <a:rPr lang="en-US" sz="1600" b="1">
                <a:latin typeface="Montserrat" pitchFamily="2" charset="0"/>
              </a:rPr>
              <a:t>Current</a:t>
            </a:r>
            <a:r>
              <a:rPr lang="en-US" sz="1600" b="1" baseline="0">
                <a:latin typeface="Montserrat" pitchFamily="2" charset="0"/>
              </a:rPr>
              <a:t> Year Vs. Prior Year And No-Date</a:t>
            </a:r>
            <a:endParaRPr lang="en-US" sz="1600" b="1">
              <a:latin typeface="Montserrat"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6">
              <a:lumMod val="75000"/>
            </a:schemeClr>
          </a:solidFill>
          <a:ln>
            <a:noFill/>
          </a:ln>
          <a:effectLst/>
        </c:spPr>
      </c:pivotFmt>
      <c:pivotFmt>
        <c:idx val="3"/>
        <c:spPr>
          <a:solidFill>
            <a:srgbClr val="C0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6">
              <a:lumMod val="75000"/>
            </a:schemeClr>
          </a:solidFill>
          <a:ln>
            <a:noFill/>
          </a:ln>
          <a:effectLst/>
        </c:spPr>
      </c:pivotFmt>
      <c:pivotFmt>
        <c:idx val="7"/>
        <c:spPr>
          <a:solidFill>
            <a:srgbClr val="C0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6">
              <a:lumMod val="75000"/>
            </a:schemeClr>
          </a:solidFill>
          <a:ln>
            <a:noFill/>
          </a:ln>
          <a:effectLst/>
        </c:spPr>
      </c:pivotFmt>
      <c:pivotFmt>
        <c:idx val="11"/>
        <c:spPr>
          <a:solidFill>
            <a:srgbClr val="C00000"/>
          </a:solidFill>
          <a:ln>
            <a:noFill/>
          </a:ln>
          <a:effectLst/>
        </c:spPr>
      </c:pivotFmt>
    </c:pivotFmts>
    <c:plotArea>
      <c:layout/>
      <c:barChart>
        <c:barDir val="col"/>
        <c:grouping val="clustered"/>
        <c:varyColors val="0"/>
        <c:ser>
          <c:idx val="0"/>
          <c:order val="0"/>
          <c:tx>
            <c:strRef>
              <c:f>'Pivot Tables'!$E$12</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5ED6-439C-BC18-33D0E431A80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ED6-439C-BC18-33D0E431A80C}"/>
              </c:ext>
            </c:extLst>
          </c:dPt>
          <c:dPt>
            <c:idx val="2"/>
            <c:invertIfNegative val="0"/>
            <c:bubble3D val="0"/>
            <c:spPr>
              <a:solidFill>
                <a:srgbClr val="C00000"/>
              </a:solidFill>
              <a:ln>
                <a:noFill/>
              </a:ln>
              <a:effectLst/>
            </c:spPr>
            <c:extLst>
              <c:ext xmlns:c16="http://schemas.microsoft.com/office/drawing/2014/chart" uri="{C3380CC4-5D6E-409C-BE32-E72D297353CC}">
                <c16:uniqueId val="{00000005-5ED6-439C-BC18-33D0E431A80C}"/>
              </c:ext>
            </c:extLst>
          </c:dPt>
          <c:cat>
            <c:strRef>
              <c:f>'Pivot Tables'!$D$13:$D$16</c:f>
              <c:strCache>
                <c:ptCount val="3"/>
                <c:pt idx="0">
                  <c:v>2025</c:v>
                </c:pt>
                <c:pt idx="1">
                  <c:v>2026</c:v>
                </c:pt>
                <c:pt idx="2">
                  <c:v>2099</c:v>
                </c:pt>
              </c:strCache>
            </c:strRef>
          </c:cat>
          <c:val>
            <c:numRef>
              <c:f>'Pivot Tables'!$E$13:$E$16</c:f>
              <c:numCache>
                <c:formatCode>"$"#,##0.00</c:formatCode>
                <c:ptCount val="3"/>
                <c:pt idx="0">
                  <c:v>17428.180000000004</c:v>
                </c:pt>
                <c:pt idx="1">
                  <c:v>6005.01</c:v>
                </c:pt>
                <c:pt idx="2">
                  <c:v>1839.83</c:v>
                </c:pt>
              </c:numCache>
            </c:numRef>
          </c:val>
          <c:extLst>
            <c:ext xmlns:c16="http://schemas.microsoft.com/office/drawing/2014/chart" uri="{C3380CC4-5D6E-409C-BE32-E72D297353CC}">
              <c16:uniqueId val="{00000006-5ED6-439C-BC18-33D0E431A80C}"/>
            </c:ext>
          </c:extLst>
        </c:ser>
        <c:dLbls>
          <c:showLegendKey val="0"/>
          <c:showVal val="0"/>
          <c:showCatName val="0"/>
          <c:showSerName val="0"/>
          <c:showPercent val="0"/>
          <c:showBubbleSize val="0"/>
        </c:dLbls>
        <c:gapWidth val="219"/>
        <c:overlap val="-27"/>
        <c:axId val="1631851936"/>
        <c:axId val="1631100976"/>
      </c:barChart>
      <c:catAx>
        <c:axId val="163185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100976"/>
        <c:crosses val="autoZero"/>
        <c:auto val="1"/>
        <c:lblAlgn val="ctr"/>
        <c:lblOffset val="100"/>
        <c:noMultiLvlLbl val="0"/>
      </c:catAx>
      <c:valAx>
        <c:axId val="1631100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185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[Individual Excel Project.xlsx]Pivot Tables!PivotTable9</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latin typeface="Montserrat" pitchFamily="2" charset="0"/>
              </a:rPr>
              <a:t>Sales By Months (2025-26)</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5">
              <a:lumMod val="50000"/>
            </a:schemeClr>
          </a:solidFill>
          <a:ln>
            <a:noFill/>
          </a:ln>
          <a:effectLst/>
        </c:spPr>
      </c:pivotFmt>
      <c:pivotFmt>
        <c:idx val="3"/>
        <c:spPr>
          <a:solidFill>
            <a:srgbClr val="FFCC00"/>
          </a:solidFill>
          <a:ln>
            <a:noFill/>
          </a:ln>
          <a:effectLst/>
        </c:spPr>
      </c:pivotFmt>
      <c:pivotFmt>
        <c:idx val="4"/>
        <c:spPr>
          <a:solidFill>
            <a:schemeClr val="accent5">
              <a:lumMod val="40000"/>
              <a:lumOff val="60000"/>
            </a:schemeClr>
          </a:solidFill>
          <a:ln>
            <a:noFill/>
          </a:ln>
          <a:effectLst/>
        </c:spPr>
      </c:pivotFmt>
      <c:pivotFmt>
        <c:idx val="5"/>
        <c:spPr>
          <a:solidFill>
            <a:schemeClr val="accent3">
              <a:lumMod val="75000"/>
            </a:schemeClr>
          </a:solidFill>
          <a:ln>
            <a:noFill/>
          </a:ln>
          <a:effectLst/>
        </c:spPr>
      </c:pivotFmt>
      <c:pivotFmt>
        <c:idx val="6"/>
        <c:spPr>
          <a:solidFill>
            <a:srgbClr val="6600FF"/>
          </a:solidFill>
          <a:ln>
            <a:noFill/>
          </a:ln>
          <a:effectLst/>
        </c:spPr>
      </c:pivotFmt>
      <c:pivotFmt>
        <c:idx val="7"/>
        <c:spPr>
          <a:solidFill>
            <a:schemeClr val="bg1">
              <a:lumMod val="50000"/>
            </a:schemeClr>
          </a:solidFill>
          <a:ln>
            <a:noFill/>
          </a:ln>
          <a:effectLst/>
        </c:spPr>
      </c:pivotFmt>
      <c:pivotFmt>
        <c:idx val="8"/>
        <c:spPr>
          <a:solidFill>
            <a:schemeClr val="tx1">
              <a:lumMod val="85000"/>
              <a:lumOff val="15000"/>
            </a:schemeClr>
          </a:solidFill>
          <a:ln>
            <a:noFill/>
          </a:ln>
          <a:effectLst/>
        </c:spPr>
      </c:pivotFmt>
      <c:pivotFmt>
        <c:idx val="9"/>
        <c:spPr>
          <a:solidFill>
            <a:srgbClr val="11DDED"/>
          </a:solidFill>
          <a:ln>
            <a:noFill/>
          </a:ln>
          <a:effectLst/>
        </c:spPr>
      </c:pivotFmt>
      <c:pivotFmt>
        <c:idx val="10"/>
        <c:spPr>
          <a:solidFill>
            <a:srgbClr val="0000FF"/>
          </a:solidFill>
          <a:ln>
            <a:noFill/>
          </a:ln>
          <a:effectLst/>
        </c:spPr>
      </c:pivotFmt>
      <c:pivotFmt>
        <c:idx val="11"/>
        <c:spPr>
          <a:solidFill>
            <a:srgbClr val="D60093"/>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60093"/>
          </a:solidFill>
          <a:ln>
            <a:noFill/>
          </a:ln>
          <a:effectLst/>
        </c:spPr>
      </c:pivotFmt>
      <c:pivotFmt>
        <c:idx val="14"/>
        <c:spPr>
          <a:solidFill>
            <a:srgbClr val="0000FF"/>
          </a:solidFill>
          <a:ln>
            <a:noFill/>
          </a:ln>
          <a:effectLst/>
        </c:spPr>
      </c:pivotFmt>
      <c:pivotFmt>
        <c:idx val="15"/>
        <c:spPr>
          <a:solidFill>
            <a:schemeClr val="accent3">
              <a:lumMod val="75000"/>
            </a:schemeClr>
          </a:solidFill>
          <a:ln>
            <a:noFill/>
          </a:ln>
          <a:effectLst/>
        </c:spPr>
      </c:pivotFmt>
      <c:pivotFmt>
        <c:idx val="16"/>
        <c:spPr>
          <a:solidFill>
            <a:schemeClr val="accent5">
              <a:lumMod val="40000"/>
              <a:lumOff val="60000"/>
            </a:schemeClr>
          </a:solidFill>
          <a:ln>
            <a:noFill/>
          </a:ln>
          <a:effectLst/>
        </c:spPr>
      </c:pivotFmt>
      <c:pivotFmt>
        <c:idx val="17"/>
        <c:spPr>
          <a:solidFill>
            <a:srgbClr val="FFCC00"/>
          </a:solidFill>
          <a:ln>
            <a:noFill/>
          </a:ln>
          <a:effectLst/>
        </c:spPr>
      </c:pivotFmt>
      <c:pivotFmt>
        <c:idx val="18"/>
        <c:spPr>
          <a:solidFill>
            <a:srgbClr val="FF0000"/>
          </a:solidFill>
          <a:ln>
            <a:noFill/>
          </a:ln>
          <a:effectLst/>
        </c:spPr>
      </c:pivotFmt>
      <c:pivotFmt>
        <c:idx val="19"/>
        <c:spPr>
          <a:solidFill>
            <a:schemeClr val="tx1">
              <a:lumMod val="85000"/>
              <a:lumOff val="15000"/>
            </a:schemeClr>
          </a:solidFill>
          <a:ln>
            <a:noFill/>
          </a:ln>
          <a:effectLst/>
        </c:spPr>
      </c:pivotFmt>
      <c:pivotFmt>
        <c:idx val="20"/>
        <c:spPr>
          <a:solidFill>
            <a:srgbClr val="11DDED"/>
          </a:solidFill>
          <a:ln>
            <a:noFill/>
          </a:ln>
          <a:effectLst/>
        </c:spPr>
      </c:pivotFmt>
      <c:pivotFmt>
        <c:idx val="21"/>
        <c:spPr>
          <a:solidFill>
            <a:srgbClr val="6600FF"/>
          </a:solidFill>
          <a:ln>
            <a:noFill/>
          </a:ln>
          <a:effectLst/>
        </c:spPr>
      </c:pivotFmt>
      <c:pivotFmt>
        <c:idx val="22"/>
        <c:spPr>
          <a:solidFill>
            <a:schemeClr val="bg1">
              <a:lumMod val="50000"/>
            </a:schemeClr>
          </a:solidFill>
          <a:ln>
            <a:noFill/>
          </a:ln>
          <a:effectLst/>
        </c:spPr>
      </c:pivotFmt>
      <c:pivotFmt>
        <c:idx val="23"/>
        <c:spPr>
          <a:solidFill>
            <a:schemeClr val="accent5">
              <a:lumMod val="5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D60093"/>
          </a:solidFill>
          <a:ln>
            <a:noFill/>
          </a:ln>
          <a:effectLst/>
        </c:spPr>
      </c:pivotFmt>
      <c:pivotFmt>
        <c:idx val="26"/>
        <c:spPr>
          <a:solidFill>
            <a:srgbClr val="0000FF"/>
          </a:solidFill>
          <a:ln>
            <a:noFill/>
          </a:ln>
          <a:effectLst/>
        </c:spPr>
      </c:pivotFmt>
      <c:pivotFmt>
        <c:idx val="27"/>
        <c:spPr>
          <a:solidFill>
            <a:schemeClr val="accent3">
              <a:lumMod val="75000"/>
            </a:schemeClr>
          </a:solidFill>
          <a:ln>
            <a:noFill/>
          </a:ln>
          <a:effectLst/>
        </c:spPr>
      </c:pivotFmt>
      <c:pivotFmt>
        <c:idx val="28"/>
        <c:spPr>
          <a:solidFill>
            <a:schemeClr val="accent5">
              <a:lumMod val="40000"/>
              <a:lumOff val="60000"/>
            </a:schemeClr>
          </a:solidFill>
          <a:ln>
            <a:noFill/>
          </a:ln>
          <a:effectLst/>
        </c:spPr>
      </c:pivotFmt>
      <c:pivotFmt>
        <c:idx val="29"/>
        <c:spPr>
          <a:solidFill>
            <a:srgbClr val="FFCC00"/>
          </a:solidFill>
          <a:ln>
            <a:noFill/>
          </a:ln>
          <a:effectLst/>
        </c:spPr>
      </c:pivotFmt>
      <c:pivotFmt>
        <c:idx val="30"/>
        <c:spPr>
          <a:solidFill>
            <a:srgbClr val="FF0000"/>
          </a:solidFill>
          <a:ln>
            <a:noFill/>
          </a:ln>
          <a:effectLst/>
        </c:spPr>
      </c:pivotFmt>
      <c:pivotFmt>
        <c:idx val="31"/>
        <c:spPr>
          <a:solidFill>
            <a:schemeClr val="tx1">
              <a:lumMod val="85000"/>
              <a:lumOff val="15000"/>
            </a:schemeClr>
          </a:solidFill>
          <a:ln>
            <a:noFill/>
          </a:ln>
          <a:effectLst/>
        </c:spPr>
      </c:pivotFmt>
      <c:pivotFmt>
        <c:idx val="32"/>
        <c:spPr>
          <a:solidFill>
            <a:srgbClr val="11DDED"/>
          </a:solidFill>
          <a:ln>
            <a:noFill/>
          </a:ln>
          <a:effectLst/>
        </c:spPr>
      </c:pivotFmt>
      <c:pivotFmt>
        <c:idx val="33"/>
        <c:spPr>
          <a:solidFill>
            <a:srgbClr val="6600FF"/>
          </a:solidFill>
          <a:ln>
            <a:noFill/>
          </a:ln>
          <a:effectLst/>
        </c:spPr>
      </c:pivotFmt>
      <c:pivotFmt>
        <c:idx val="34"/>
        <c:spPr>
          <a:solidFill>
            <a:schemeClr val="bg1">
              <a:lumMod val="50000"/>
            </a:schemeClr>
          </a:solidFill>
          <a:ln>
            <a:noFill/>
          </a:ln>
          <a:effectLst/>
        </c:spPr>
      </c:pivotFmt>
      <c:pivotFmt>
        <c:idx val="35"/>
        <c:spPr>
          <a:solidFill>
            <a:schemeClr val="accent5">
              <a:lumMod val="50000"/>
            </a:schemeClr>
          </a:solidFill>
          <a:ln>
            <a:noFill/>
          </a:ln>
          <a:effectLst/>
        </c:spPr>
      </c:pivotFmt>
    </c:pivotFmts>
    <c:plotArea>
      <c:layout/>
      <c:barChart>
        <c:barDir val="col"/>
        <c:grouping val="clustered"/>
        <c:varyColors val="0"/>
        <c:ser>
          <c:idx val="0"/>
          <c:order val="0"/>
          <c:tx>
            <c:strRef>
              <c:f>'Pivot Tables'!$H$2</c:f>
              <c:strCache>
                <c:ptCount val="1"/>
                <c:pt idx="0">
                  <c:v>Total</c:v>
                </c:pt>
              </c:strCache>
            </c:strRef>
          </c:tx>
          <c:spPr>
            <a:solidFill>
              <a:schemeClr val="accent1"/>
            </a:solidFill>
            <a:ln>
              <a:noFill/>
            </a:ln>
            <a:effectLst/>
          </c:spPr>
          <c:invertIfNegative val="0"/>
          <c:dPt>
            <c:idx val="0"/>
            <c:invertIfNegative val="0"/>
            <c:bubble3D val="0"/>
            <c:spPr>
              <a:solidFill>
                <a:srgbClr val="D60093"/>
              </a:solidFill>
              <a:ln>
                <a:noFill/>
              </a:ln>
              <a:effectLst/>
            </c:spPr>
            <c:extLst>
              <c:ext xmlns:c16="http://schemas.microsoft.com/office/drawing/2014/chart" uri="{C3380CC4-5D6E-409C-BE32-E72D297353CC}">
                <c16:uniqueId val="{00000001-71D4-46C1-9450-156E3C605196}"/>
              </c:ext>
            </c:extLst>
          </c:dPt>
          <c:dPt>
            <c:idx val="1"/>
            <c:invertIfNegative val="0"/>
            <c:bubble3D val="0"/>
            <c:spPr>
              <a:solidFill>
                <a:srgbClr val="0000FF"/>
              </a:solidFill>
              <a:ln>
                <a:noFill/>
              </a:ln>
              <a:effectLst/>
            </c:spPr>
            <c:extLst>
              <c:ext xmlns:c16="http://schemas.microsoft.com/office/drawing/2014/chart" uri="{C3380CC4-5D6E-409C-BE32-E72D297353CC}">
                <c16:uniqueId val="{00000003-71D4-46C1-9450-156E3C605196}"/>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5-71D4-46C1-9450-156E3C605196}"/>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71D4-46C1-9450-156E3C605196}"/>
              </c:ext>
            </c:extLst>
          </c:dPt>
          <c:dPt>
            <c:idx val="4"/>
            <c:invertIfNegative val="0"/>
            <c:bubble3D val="0"/>
            <c:spPr>
              <a:solidFill>
                <a:srgbClr val="FFCC00"/>
              </a:solidFill>
              <a:ln>
                <a:noFill/>
              </a:ln>
              <a:effectLst/>
            </c:spPr>
            <c:extLst>
              <c:ext xmlns:c16="http://schemas.microsoft.com/office/drawing/2014/chart" uri="{C3380CC4-5D6E-409C-BE32-E72D297353CC}">
                <c16:uniqueId val="{00000009-71D4-46C1-9450-156E3C605196}"/>
              </c:ext>
            </c:extLst>
          </c:dPt>
          <c:dPt>
            <c:idx val="5"/>
            <c:invertIfNegative val="0"/>
            <c:bubble3D val="0"/>
            <c:spPr>
              <a:solidFill>
                <a:srgbClr val="FF0000"/>
              </a:solidFill>
              <a:ln>
                <a:noFill/>
              </a:ln>
              <a:effectLst/>
            </c:spPr>
            <c:extLst>
              <c:ext xmlns:c16="http://schemas.microsoft.com/office/drawing/2014/chart" uri="{C3380CC4-5D6E-409C-BE32-E72D297353CC}">
                <c16:uniqueId val="{0000000B-71D4-46C1-9450-156E3C605196}"/>
              </c:ext>
            </c:extLst>
          </c:dPt>
          <c:dPt>
            <c:idx val="7"/>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D-71D4-46C1-9450-156E3C605196}"/>
              </c:ext>
            </c:extLst>
          </c:dPt>
          <c:dPt>
            <c:idx val="8"/>
            <c:invertIfNegative val="0"/>
            <c:bubble3D val="0"/>
            <c:spPr>
              <a:solidFill>
                <a:srgbClr val="11DDED"/>
              </a:solidFill>
              <a:ln>
                <a:noFill/>
              </a:ln>
              <a:effectLst/>
            </c:spPr>
            <c:extLst>
              <c:ext xmlns:c16="http://schemas.microsoft.com/office/drawing/2014/chart" uri="{C3380CC4-5D6E-409C-BE32-E72D297353CC}">
                <c16:uniqueId val="{0000000F-71D4-46C1-9450-156E3C605196}"/>
              </c:ext>
            </c:extLst>
          </c:dPt>
          <c:dPt>
            <c:idx val="9"/>
            <c:invertIfNegative val="0"/>
            <c:bubble3D val="0"/>
            <c:spPr>
              <a:solidFill>
                <a:srgbClr val="6600FF"/>
              </a:solidFill>
              <a:ln>
                <a:noFill/>
              </a:ln>
              <a:effectLst/>
            </c:spPr>
            <c:extLst>
              <c:ext xmlns:c16="http://schemas.microsoft.com/office/drawing/2014/chart" uri="{C3380CC4-5D6E-409C-BE32-E72D297353CC}">
                <c16:uniqueId val="{00000011-71D4-46C1-9450-156E3C605196}"/>
              </c:ext>
            </c:extLst>
          </c:dPt>
          <c:dPt>
            <c:idx val="10"/>
            <c:invertIfNegative val="0"/>
            <c:bubble3D val="0"/>
            <c:spPr>
              <a:solidFill>
                <a:schemeClr val="bg1">
                  <a:lumMod val="50000"/>
                </a:schemeClr>
              </a:solidFill>
              <a:ln>
                <a:noFill/>
              </a:ln>
              <a:effectLst/>
            </c:spPr>
            <c:extLst>
              <c:ext xmlns:c16="http://schemas.microsoft.com/office/drawing/2014/chart" uri="{C3380CC4-5D6E-409C-BE32-E72D297353CC}">
                <c16:uniqueId val="{00000013-71D4-46C1-9450-156E3C605196}"/>
              </c:ext>
            </c:extLst>
          </c:dPt>
          <c:dPt>
            <c:idx val="11"/>
            <c:invertIfNegative val="0"/>
            <c:bubble3D val="0"/>
            <c:spPr>
              <a:solidFill>
                <a:schemeClr val="accent5">
                  <a:lumMod val="50000"/>
                </a:schemeClr>
              </a:solidFill>
              <a:ln>
                <a:noFill/>
              </a:ln>
              <a:effectLst/>
            </c:spPr>
            <c:extLst>
              <c:ext xmlns:c16="http://schemas.microsoft.com/office/drawing/2014/chart" uri="{C3380CC4-5D6E-409C-BE32-E72D297353CC}">
                <c16:uniqueId val="{00000015-71D4-46C1-9450-156E3C605196}"/>
              </c:ext>
            </c:extLst>
          </c:dPt>
          <c:cat>
            <c:strRef>
              <c:f>'Pivot Tables'!$G$3:$G$15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Tables'!$H$3:$H$15</c:f>
              <c:numCache>
                <c:formatCode>"$"#,##0.00</c:formatCode>
                <c:ptCount val="12"/>
                <c:pt idx="0">
                  <c:v>1366.1099999999997</c:v>
                </c:pt>
                <c:pt idx="1">
                  <c:v>1515.1100000000001</c:v>
                </c:pt>
                <c:pt idx="2">
                  <c:v>2466.75</c:v>
                </c:pt>
                <c:pt idx="3">
                  <c:v>2543.7600000000002</c:v>
                </c:pt>
                <c:pt idx="4">
                  <c:v>3112.0600000000004</c:v>
                </c:pt>
                <c:pt idx="5">
                  <c:v>4601.28</c:v>
                </c:pt>
                <c:pt idx="6">
                  <c:v>1452.4399999999998</c:v>
                </c:pt>
                <c:pt idx="7">
                  <c:v>1369.4500000000003</c:v>
                </c:pt>
                <c:pt idx="8">
                  <c:v>1285.3899999999999</c:v>
                </c:pt>
                <c:pt idx="9">
                  <c:v>1597.1799999999996</c:v>
                </c:pt>
                <c:pt idx="10">
                  <c:v>804.00999999999988</c:v>
                </c:pt>
                <c:pt idx="11">
                  <c:v>3159.4799999999991</c:v>
                </c:pt>
              </c:numCache>
            </c:numRef>
          </c:val>
          <c:extLst>
            <c:ext xmlns:c16="http://schemas.microsoft.com/office/drawing/2014/chart" uri="{C3380CC4-5D6E-409C-BE32-E72D297353CC}">
              <c16:uniqueId val="{00000016-71D4-46C1-9450-156E3C605196}"/>
            </c:ext>
          </c:extLst>
        </c:ser>
        <c:dLbls>
          <c:showLegendKey val="0"/>
          <c:showVal val="0"/>
          <c:showCatName val="0"/>
          <c:showSerName val="0"/>
          <c:showPercent val="0"/>
          <c:showBubbleSize val="0"/>
        </c:dLbls>
        <c:gapWidth val="219"/>
        <c:overlap val="-27"/>
        <c:axId val="1804525808"/>
        <c:axId val="1380317744"/>
      </c:barChart>
      <c:catAx>
        <c:axId val="180452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crossAx val="1380317744"/>
        <c:crosses val="autoZero"/>
        <c:auto val="1"/>
        <c:lblAlgn val="ctr"/>
        <c:lblOffset val="100"/>
        <c:noMultiLvlLbl val="0"/>
      </c:catAx>
      <c:valAx>
        <c:axId val="1380317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452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660400</xdr:colOff>
      <xdr:row>36</xdr:row>
      <xdr:rowOff>50800</xdr:rowOff>
    </xdr:from>
    <xdr:to>
      <xdr:col>6</xdr:col>
      <xdr:colOff>406400</xdr:colOff>
      <xdr:row>51</xdr:row>
      <xdr:rowOff>31750</xdr:rowOff>
    </xdr:to>
    <xdr:graphicFrame macro="">
      <xdr:nvGraphicFramePr>
        <xdr:cNvPr id="12" name="Chart 11">
          <a:extLst>
            <a:ext uri="{FF2B5EF4-FFF2-40B4-BE49-F238E27FC236}">
              <a16:creationId xmlns:a16="http://schemas.microsoft.com/office/drawing/2014/main" id="{BCE0EB57-2540-DFDD-216E-9F0EC2FC1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40</xdr:row>
      <xdr:rowOff>13606</xdr:rowOff>
    </xdr:from>
    <xdr:to>
      <xdr:col>2</xdr:col>
      <xdr:colOff>479651</xdr:colOff>
      <xdr:row>51</xdr:row>
      <xdr:rowOff>81642</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2341CBDD-BAD9-41A1-897A-2A65F535C2C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8165419"/>
              <a:ext cx="2456089" cy="2076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11791</xdr:rowOff>
    </xdr:from>
    <xdr:to>
      <xdr:col>2</xdr:col>
      <xdr:colOff>488721</xdr:colOff>
      <xdr:row>40</xdr:row>
      <xdr:rowOff>18142</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93835733-82AA-4F8D-83AD-7129E138E32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5790291"/>
              <a:ext cx="2465159" cy="2379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90715</xdr:rowOff>
    </xdr:from>
    <xdr:to>
      <xdr:col>2</xdr:col>
      <xdr:colOff>506865</xdr:colOff>
      <xdr:row>27</xdr:row>
      <xdr:rowOff>20865</xdr:rowOff>
    </xdr:to>
    <mc:AlternateContent xmlns:mc="http://schemas.openxmlformats.org/markup-compatibility/2006" xmlns:a14="http://schemas.microsoft.com/office/drawing/2010/main">
      <mc:Choice Requires="a14">
        <xdr:graphicFrame macro="">
          <xdr:nvGraphicFramePr>
            <xdr:cNvPr id="8" name="Years (Purchase_Date)">
              <a:extLst>
                <a:ext uri="{FF2B5EF4-FFF2-40B4-BE49-F238E27FC236}">
                  <a16:creationId xmlns:a16="http://schemas.microsoft.com/office/drawing/2014/main" id="{2233AC7A-0743-4C30-8D31-AB9C9F8FA4B6}"/>
                </a:ext>
              </a:extLst>
            </xdr:cNvPr>
            <xdr:cNvGraphicFramePr/>
          </xdr:nvGraphicFramePr>
          <xdr:xfrm>
            <a:off x="0" y="0"/>
            <a:ext cx="0" cy="0"/>
          </xdr:xfrm>
          <a:graphic>
            <a:graphicData uri="http://schemas.microsoft.com/office/drawing/2010/slicer">
              <sle:slicer xmlns:sle="http://schemas.microsoft.com/office/drawing/2010/slicer" name="Years (Purchase_Date)"/>
            </a:graphicData>
          </a:graphic>
        </xdr:graphicFrame>
      </mc:Choice>
      <mc:Fallback xmlns="">
        <xdr:sp macro="" textlink="">
          <xdr:nvSpPr>
            <xdr:cNvPr id="0" name=""/>
            <xdr:cNvSpPr>
              <a:spLocks noTextEdit="1"/>
            </xdr:cNvSpPr>
          </xdr:nvSpPr>
          <xdr:spPr>
            <a:xfrm>
              <a:off x="0" y="4591278"/>
              <a:ext cx="2483303" cy="1208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530680</xdr:colOff>
      <xdr:row>50</xdr:row>
      <xdr:rowOff>85044</xdr:rowOff>
    </xdr:from>
    <xdr:to>
      <xdr:col>21</xdr:col>
      <xdr:colOff>104322</xdr:colOff>
      <xdr:row>71</xdr:row>
      <xdr:rowOff>34969</xdr:rowOff>
    </xdr:to>
    <xdr:graphicFrame macro="">
      <xdr:nvGraphicFramePr>
        <xdr:cNvPr id="9" name="Chart 8">
          <a:extLst>
            <a:ext uri="{FF2B5EF4-FFF2-40B4-BE49-F238E27FC236}">
              <a16:creationId xmlns:a16="http://schemas.microsoft.com/office/drawing/2014/main" id="{8D597F92-8782-455C-87A6-84D1F9738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521609</xdr:colOff>
      <xdr:row>71</xdr:row>
      <xdr:rowOff>29935</xdr:rowOff>
    </xdr:from>
    <xdr:to>
      <xdr:col>21</xdr:col>
      <xdr:colOff>113395</xdr:colOff>
      <xdr:row>92</xdr:row>
      <xdr:rowOff>54429</xdr:rowOff>
    </xdr:to>
    <xdr:graphicFrame macro="">
      <xdr:nvGraphicFramePr>
        <xdr:cNvPr id="10" name="Chart 9">
          <a:extLst>
            <a:ext uri="{FF2B5EF4-FFF2-40B4-BE49-F238E27FC236}">
              <a16:creationId xmlns:a16="http://schemas.microsoft.com/office/drawing/2014/main" id="{F5479CBC-AC2E-4532-9A9F-40B6C5FAA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500065</xdr:colOff>
      <xdr:row>71</xdr:row>
      <xdr:rowOff>68943</xdr:rowOff>
    </xdr:from>
    <xdr:to>
      <xdr:col>11</xdr:col>
      <xdr:colOff>563563</xdr:colOff>
      <xdr:row>92</xdr:row>
      <xdr:rowOff>90714</xdr:rowOff>
    </xdr:to>
    <xdr:graphicFrame macro="">
      <xdr:nvGraphicFramePr>
        <xdr:cNvPr id="11" name="Chart 10">
          <a:extLst>
            <a:ext uri="{FF2B5EF4-FFF2-40B4-BE49-F238E27FC236}">
              <a16:creationId xmlns:a16="http://schemas.microsoft.com/office/drawing/2014/main" id="{A067F3BB-46D6-466B-9B8B-111E153B4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502328</xdr:colOff>
      <xdr:row>50</xdr:row>
      <xdr:rowOff>97066</xdr:rowOff>
    </xdr:from>
    <xdr:to>
      <xdr:col>11</xdr:col>
      <xdr:colOff>529545</xdr:colOff>
      <xdr:row>71</xdr:row>
      <xdr:rowOff>61234</xdr:rowOff>
    </xdr:to>
    <xdr:graphicFrame macro="">
      <xdr:nvGraphicFramePr>
        <xdr:cNvPr id="12" name="Chart 11">
          <a:extLst>
            <a:ext uri="{FF2B5EF4-FFF2-40B4-BE49-F238E27FC236}">
              <a16:creationId xmlns:a16="http://schemas.microsoft.com/office/drawing/2014/main" id="{C59A158A-365D-4125-B1F8-ECBF59933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497794</xdr:colOff>
      <xdr:row>24</xdr:row>
      <xdr:rowOff>9071</xdr:rowOff>
    </xdr:from>
    <xdr:to>
      <xdr:col>21</xdr:col>
      <xdr:colOff>7938</xdr:colOff>
      <xdr:row>50</xdr:row>
      <xdr:rowOff>90714</xdr:rowOff>
    </xdr:to>
    <xdr:graphicFrame macro="">
      <xdr:nvGraphicFramePr>
        <xdr:cNvPr id="13" name="Chart 12">
          <a:extLst>
            <a:ext uri="{FF2B5EF4-FFF2-40B4-BE49-F238E27FC236}">
              <a16:creationId xmlns:a16="http://schemas.microsoft.com/office/drawing/2014/main" id="{17CCEF03-2C0F-4B69-9C2D-C8C1C06FB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506864</xdr:colOff>
      <xdr:row>20</xdr:row>
      <xdr:rowOff>99785</xdr:rowOff>
    </xdr:from>
    <xdr:to>
      <xdr:col>21</xdr:col>
      <xdr:colOff>17008</xdr:colOff>
      <xdr:row>24</xdr:row>
      <xdr:rowOff>27214</xdr:rowOff>
    </xdr:to>
    <mc:AlternateContent xmlns:mc="http://schemas.openxmlformats.org/markup-compatibility/2006" xmlns:a14="http://schemas.microsoft.com/office/drawing/2010/main">
      <mc:Choice Requires="a14">
        <xdr:graphicFrame macro="">
          <xdr:nvGraphicFramePr>
            <xdr:cNvPr id="14" name="Months (Purchase_Date)">
              <a:extLst>
                <a:ext uri="{FF2B5EF4-FFF2-40B4-BE49-F238E27FC236}">
                  <a16:creationId xmlns:a16="http://schemas.microsoft.com/office/drawing/2014/main" id="{B15F8C07-2F2E-499F-90D7-F6A805555861}"/>
                </a:ext>
              </a:extLst>
            </xdr:cNvPr>
            <xdr:cNvGraphicFramePr/>
          </xdr:nvGraphicFramePr>
          <xdr:xfrm>
            <a:off x="0" y="0"/>
            <a:ext cx="0" cy="0"/>
          </xdr:xfrm>
          <a:graphic>
            <a:graphicData uri="http://schemas.microsoft.com/office/drawing/2010/slicer">
              <sle:slicer xmlns:sle="http://schemas.microsoft.com/office/drawing/2010/slicer" name="Months (Purchase_Date)"/>
            </a:graphicData>
          </a:graphic>
        </xdr:graphicFrame>
      </mc:Choice>
      <mc:Fallback xmlns="">
        <xdr:sp macro="" textlink="">
          <xdr:nvSpPr>
            <xdr:cNvPr id="0" name=""/>
            <xdr:cNvSpPr>
              <a:spLocks noTextEdit="1"/>
            </xdr:cNvSpPr>
          </xdr:nvSpPr>
          <xdr:spPr>
            <a:xfrm>
              <a:off x="2483302" y="4600348"/>
              <a:ext cx="11456081" cy="657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 refreshedDate="46252.473959027775" createdVersion="8" refreshedVersion="8" minRefreshableVersion="3" recordCount="292" xr:uid="{02C6DA94-88B8-466F-869F-CEAF9EC50C2E}">
  <cacheSource type="worksheet">
    <worksheetSource name="Table1"/>
  </cacheSource>
  <cacheFields count="10">
    <cacheField name="Transaction_ID" numFmtId="0">
      <sharedItems/>
    </cacheField>
    <cacheField name="Purchase_Date" numFmtId="164">
      <sharedItems containsSemiMixedTypes="0" containsNonDate="0" containsDate="1" containsString="0" minDate="2025-01-01T00:00:00" maxDate="2100-01-01T00:00:00" count="224">
        <d v="2026-03-01T00:00:00"/>
        <d v="2026-01-23T00:00:00"/>
        <d v="2026-03-10T00:00:00"/>
        <d v="2025-01-05T00:00:00"/>
        <d v="2025-06-21T00:00:00"/>
        <d v="2025-07-09T00:00:00"/>
        <d v="2025-05-18T00:00:00"/>
        <d v="2025-12-06T00:00:00"/>
        <d v="2025-05-29T00:00:00"/>
        <d v="2025-03-15T00:00:00"/>
        <d v="2025-09-03T00:00:00"/>
        <d v="2025-05-15T00:00:00"/>
        <d v="2025-02-02T00:00:00"/>
        <d v="2025-09-20T00:00:00"/>
        <d v="2025-06-16T00:00:00"/>
        <d v="2025-02-18T00:00:00"/>
        <d v="2025-04-14T00:00:00"/>
        <d v="2026-06-15T00:00:00"/>
        <d v="2025-03-21T00:00:00"/>
        <d v="2025-08-15T00:00:00"/>
        <d v="2026-03-07T00:00:00"/>
        <d v="2026-03-05T00:00:00"/>
        <d v="2026-03-11T00:00:00"/>
        <d v="2025-04-01T00:00:00"/>
        <d v="2025-03-10T00:00:00"/>
        <d v="2025-10-25T00:00:00"/>
        <d v="2026-05-01T00:00:00"/>
        <d v="2025-10-04T00:00:00"/>
        <d v="2025-01-26T00:00:00"/>
        <d v="2099-12-31T00:00:00"/>
        <d v="2026-01-25T00:00:00"/>
        <d v="2025-11-22T00:00:00"/>
        <d v="2025-08-06T00:00:00"/>
        <d v="2025-05-10T00:00:00"/>
        <d v="2026-07-09T00:00:00"/>
        <d v="2025-12-14T00:00:00"/>
        <d v="2025-12-29T00:00:00"/>
        <d v="2025-08-08T00:00:00"/>
        <d v="2025-10-22T00:00:00"/>
        <d v="2026-01-10T00:00:00"/>
        <d v="2025-01-11T00:00:00"/>
        <d v="2025-07-13T00:00:00"/>
        <d v="2025-11-15T00:00:00"/>
        <d v="2025-03-04T00:00:00"/>
        <d v="2026-04-22T00:00:00"/>
        <d v="2026-02-23T00:00:00"/>
        <d v="2025-02-27T00:00:00"/>
        <d v="2025-12-27T00:00:00"/>
        <d v="2025-03-24T00:00:00"/>
        <d v="2025-04-02T00:00:00"/>
        <d v="2025-12-31T00:00:00"/>
        <d v="2025-12-02T00:00:00"/>
        <d v="2026-07-02T00:00:00"/>
        <d v="2025-06-27T00:00:00"/>
        <d v="2025-09-25T00:00:00"/>
        <d v="2025-10-07T00:00:00"/>
        <d v="2026-05-29T00:00:00"/>
        <d v="2025-09-23T00:00:00"/>
        <d v="2025-04-15T00:00:00"/>
        <d v="2026-03-18T00:00:00"/>
        <d v="2026-01-13T00:00:00"/>
        <d v="2025-08-20T00:00:00"/>
        <d v="2025-11-24T00:00:00"/>
        <d v="2026-06-06T00:00:00"/>
        <d v="2026-03-02T00:00:00"/>
        <d v="2025-10-28T00:00:00"/>
        <d v="2025-08-14T00:00:00"/>
        <d v="2025-10-02T00:00:00"/>
        <d v="2025-07-06T00:00:00"/>
        <d v="2025-08-13T00:00:00"/>
        <d v="2026-04-23T00:00:00"/>
        <d v="2025-08-01T00:00:00"/>
        <d v="2025-05-17T00:00:00"/>
        <d v="2026-03-04T00:00:00"/>
        <d v="2025-05-08T00:00:00"/>
        <d v="2025-05-13T00:00:00"/>
        <d v="2025-12-20T00:00:00"/>
        <d v="2025-02-16T00:00:00"/>
        <d v="2025-10-23T00:00:00"/>
        <d v="2026-05-12T00:00:00"/>
        <d v="2026-04-25T00:00:00"/>
        <d v="2025-03-31T00:00:00"/>
        <d v="2026-05-07T00:00:00"/>
        <d v="2025-11-17T00:00:00"/>
        <d v="2026-07-05T00:00:00"/>
        <d v="2026-02-08T00:00:00"/>
        <d v="2025-04-27T00:00:00"/>
        <d v="2025-06-24T00:00:00"/>
        <d v="2025-05-06T00:00:00"/>
        <d v="2026-01-28T00:00:00"/>
        <d v="2025-02-09T00:00:00"/>
        <d v="2025-11-08T00:00:00"/>
        <d v="2025-04-03T00:00:00"/>
        <d v="2026-05-28T00:00:00"/>
        <d v="2025-05-22T00:00:00"/>
        <d v="2025-06-25T00:00:00"/>
        <d v="2025-05-07T00:00:00"/>
        <d v="2025-08-12T00:00:00"/>
        <d v="2025-01-23T00:00:00"/>
        <d v="2025-10-03T00:00:00"/>
        <d v="2025-09-11T00:00:00"/>
        <d v="2025-08-31T00:00:00"/>
        <d v="2026-07-21T00:00:00"/>
        <d v="2026-02-25T00:00:00"/>
        <d v="2025-03-19T00:00:00"/>
        <d v="2025-04-04T00:00:00"/>
        <d v="2025-10-11T00:00:00"/>
        <d v="2025-01-01T00:00:00"/>
        <d v="2026-04-09T00:00:00"/>
        <d v="2026-02-20T00:00:00"/>
        <d v="2026-07-06T00:00:00"/>
        <d v="2026-07-29T00:00:00"/>
        <d v="2026-02-11T00:00:00"/>
        <d v="2025-06-01T00:00:00"/>
        <d v="2026-04-15T00:00:00"/>
        <d v="2026-02-17T00:00:00"/>
        <d v="2025-06-06T00:00:00"/>
        <d v="2025-04-20T00:00:00"/>
        <d v="2025-05-25T00:00:00"/>
        <d v="2026-03-27T00:00:00"/>
        <d v="2025-07-01T00:00:00"/>
        <d v="2025-03-30T00:00:00"/>
        <d v="2026-01-04T00:00:00"/>
        <d v="2025-07-22T00:00:00"/>
        <d v="2025-04-09T00:00:00"/>
        <d v="2026-01-26T00:00:00"/>
        <d v="2025-05-23T00:00:00"/>
        <d v="2025-06-18T00:00:00"/>
        <d v="2026-06-05T00:00:00"/>
        <d v="2025-03-14T00:00:00"/>
        <d v="2025-08-02T00:00:00"/>
        <d v="2025-09-28T00:00:00"/>
        <d v="2026-01-24T00:00:00"/>
        <d v="2026-03-28T00:00:00"/>
        <d v="2025-06-17T00:00:00"/>
        <d v="2026-05-24T00:00:00"/>
        <d v="2025-09-09T00:00:00"/>
        <d v="2025-11-19T00:00:00"/>
        <d v="2026-07-04T00:00:00"/>
        <d v="2025-07-23T00:00:00"/>
        <d v="2026-03-03T00:00:00"/>
        <d v="2026-03-29T00:00:00"/>
        <d v="2026-05-15T00:00:00"/>
        <d v="2025-07-14T00:00:00"/>
        <d v="2025-07-26T00:00:00"/>
        <d v="2025-06-26T00:00:00"/>
        <d v="2025-11-16T00:00:00"/>
        <d v="2026-01-11T00:00:00"/>
        <d v="2025-10-31T00:00:00"/>
        <d v="2026-02-09T00:00:00"/>
        <d v="2026-02-04T00:00:00"/>
        <d v="2026-07-27T00:00:00"/>
        <d v="2025-03-05T00:00:00"/>
        <d v="2025-08-07T00:00:00"/>
        <d v="2025-08-03T00:00:00"/>
        <d v="2025-10-19T00:00:00"/>
        <d v="2025-07-04T00:00:00"/>
        <d v="2025-05-04T00:00:00"/>
        <d v="2026-01-06T00:00:00"/>
        <d v="2025-10-20T00:00:00"/>
        <d v="2025-05-01T00:00:00"/>
        <d v="2025-10-17T00:00:00"/>
        <d v="2026-07-16T00:00:00"/>
        <d v="2026-04-29T00:00:00"/>
        <d v="2025-12-21T00:00:00"/>
        <d v="2026-02-01T00:00:00"/>
        <d v="2025-08-16T00:00:00"/>
        <d v="2025-04-24T00:00:00"/>
        <d v="2025-11-12T00:00:00"/>
        <d v="2025-01-06T00:00:00"/>
        <d v="2025-01-30T00:00:00"/>
        <d v="2025-08-23T00:00:00"/>
        <d v="2026-01-07T00:00:00"/>
        <d v="2025-06-07T00:00:00"/>
        <d v="2025-04-07T00:00:00"/>
        <d v="2025-10-14T00:00:00"/>
        <d v="2026-07-19T00:00:00"/>
        <d v="2025-04-30T00:00:00"/>
        <d v="2025-02-21T00:00:00"/>
        <d v="2025-10-16T00:00:00"/>
        <d v="2026-04-04T00:00:00"/>
        <d v="2026-04-05T00:00:00"/>
        <d v="2025-02-06T00:00:00"/>
        <d v="2025-02-14T00:00:00"/>
        <d v="2025-06-22T00:00:00"/>
        <d v="2025-07-29T00:00:00"/>
        <d v="2026-07-30T00:00:00"/>
        <d v="2026-03-30T00:00:00"/>
        <d v="2025-09-08T00:00:00"/>
        <d v="2025-06-28T00:00:00"/>
        <d v="2025-09-17T00:00:00"/>
        <d v="2025-07-20T00:00:00"/>
        <d v="2026-07-11T00:00:00"/>
        <d v="2025-06-20T00:00:00"/>
        <d v="2025-10-21T00:00:00"/>
        <d v="2025-10-08T00:00:00"/>
        <d v="2025-03-09T00:00:00"/>
        <d v="2026-04-28T00:00:00"/>
        <d v="2025-07-16T00:00:00"/>
        <d v="2025-09-16T00:00:00"/>
        <d v="2026-01-01T00:00:00"/>
        <d v="2025-01-16T00:00:00"/>
        <d v="2025-02-11T00:00:00"/>
        <d v="2026-04-19T00:00:00"/>
        <d v="2026-06-25T00:00:00"/>
        <d v="2025-01-21T00:00:00"/>
        <d v="2026-06-12T00:00:00"/>
        <d v="2026-04-21T00:00:00"/>
        <d v="2025-05-28T00:00:00"/>
        <d v="2025-12-16T00:00:00"/>
        <d v="2026-06-21T00:00:00"/>
        <d v="2026-06-03T00:00:00"/>
        <d v="2025-06-04T00:00:00"/>
        <d v="2025-01-12T00:00:00"/>
        <d v="2025-09-07T00:00:00"/>
        <d v="2025-10-05T00:00:00"/>
        <d v="2026-03-14T00:00:00"/>
        <d v="2026-02-06T00:00:00"/>
        <d v="2025-11-26T00:00:00"/>
        <d v="2026-05-21T00:00:00"/>
        <d v="2026-05-04T00:00:00"/>
        <d v="2026-06-16T00:00:00"/>
        <d v="2026-07-22T00:00:00"/>
        <d v="2025-04-29T00:00:00"/>
      </sharedItems>
      <fieldGroup par="9"/>
    </cacheField>
    <cacheField name="Customer_Type" numFmtId="0">
      <sharedItems count="2">
        <s v="New"/>
        <s v="Returning"/>
      </sharedItems>
    </cacheField>
    <cacheField name="Product_Category" numFmtId="0">
      <sharedItems count="6">
        <s v="Groceries"/>
        <s v="Electronics"/>
        <s v="Home &amp; Living"/>
        <s v="Stationery"/>
        <s v="Clothing"/>
        <s v="Other"/>
      </sharedItems>
    </cacheField>
    <cacheField name="Quantity" numFmtId="0">
      <sharedItems containsSemiMixedTypes="0" containsString="0" containsNumber="1" containsInteger="1" minValue="0" maxValue="31"/>
    </cacheField>
    <cacheField name="Unit_Price" numFmtId="166">
      <sharedItems containsSemiMixedTypes="0" containsString="0" containsNumber="1" minValue="-1" maxValue="2013"/>
    </cacheField>
    <cacheField name="City" numFmtId="0">
      <sharedItems count="7">
        <s v="Baidoa"/>
        <s v="Garowe"/>
        <s v="Bosaso"/>
        <s v="Kismayo"/>
        <s v="Mogadishu"/>
        <s v="Hargeisa"/>
        <s v="Other"/>
      </sharedItems>
    </cacheField>
    <cacheField name="Months (Purchase_Date)" numFmtId="0" databaseField="0">
      <fieldGroup base="1">
        <rangePr groupBy="months" startDate="2025-01-01T00:00:00" endDate="2100-01-01T00:00:00"/>
        <groupItems count="14">
          <s v="&lt;1/1/2025"/>
          <s v="Jan"/>
          <s v="Feb"/>
          <s v="Mar"/>
          <s v="Apr"/>
          <s v="May"/>
          <s v="Jun"/>
          <s v="Jul"/>
          <s v="Aug"/>
          <s v="Sep"/>
          <s v="Oct"/>
          <s v="Nov"/>
          <s v="Dec"/>
          <s v="&gt;1/1/2100"/>
        </groupItems>
      </fieldGroup>
    </cacheField>
    <cacheField name="Quarters (Purchase_Date)" numFmtId="0" databaseField="0">
      <fieldGroup base="1">
        <rangePr groupBy="quarters" startDate="2025-01-01T00:00:00" endDate="2100-01-01T00:00:00"/>
        <groupItems count="6">
          <s v="&lt;1/1/2025"/>
          <s v="Qtr1"/>
          <s v="Qtr2"/>
          <s v="Qtr3"/>
          <s v="Qtr4"/>
          <s v="&gt;1/1/2100"/>
        </groupItems>
      </fieldGroup>
    </cacheField>
    <cacheField name="Years (Purchase_Date)" numFmtId="0" databaseField="0">
      <fieldGroup base="1">
        <rangePr groupBy="years" startDate="2025-01-01T00:00:00" endDate="2100-01-01T00:00:00"/>
        <groupItems count="78">
          <s v="&lt;1/1/2025"/>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gt;1/1/2100"/>
        </groupItems>
      </fieldGroup>
    </cacheField>
  </cacheFields>
  <extLst>
    <ext xmlns:x14="http://schemas.microsoft.com/office/spreadsheetml/2009/9/main" uri="{725AE2AE-9491-48be-B2B4-4EB974FC3084}">
      <x14:pivotCacheDefinition pivotCacheId="1295122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s v="MISSING-231"/>
    <x v="0"/>
    <x v="0"/>
    <x v="0"/>
    <n v="6"/>
    <n v="22.02"/>
    <x v="0"/>
  </r>
  <r>
    <s v="MISSING-281"/>
    <x v="1"/>
    <x v="0"/>
    <x v="0"/>
    <n v="5"/>
    <n v="17.73"/>
    <x v="1"/>
  </r>
  <r>
    <s v="MISSING-47"/>
    <x v="2"/>
    <x v="1"/>
    <x v="1"/>
    <n v="2"/>
    <n v="168.49"/>
    <x v="2"/>
  </r>
  <r>
    <s v="MISSING-125"/>
    <x v="3"/>
    <x v="1"/>
    <x v="2"/>
    <n v="3"/>
    <n v="131.13999999999999"/>
    <x v="3"/>
  </r>
  <r>
    <s v="MISSING-150"/>
    <x v="4"/>
    <x v="1"/>
    <x v="1"/>
    <n v="1"/>
    <n v="228.02"/>
    <x v="3"/>
  </r>
  <r>
    <s v="MISSING-151"/>
    <x v="5"/>
    <x v="1"/>
    <x v="3"/>
    <n v="6"/>
    <n v="12.28"/>
    <x v="0"/>
  </r>
  <r>
    <s v="MISSING-230"/>
    <x v="6"/>
    <x v="1"/>
    <x v="0"/>
    <n v="8"/>
    <n v="12.09"/>
    <x v="3"/>
  </r>
  <r>
    <s v="MISSING-253"/>
    <x v="7"/>
    <x v="0"/>
    <x v="1"/>
    <n v="3"/>
    <n v="280.95"/>
    <x v="4"/>
  </r>
  <r>
    <s v="MISSING-274"/>
    <x v="8"/>
    <x v="1"/>
    <x v="4"/>
    <n v="6"/>
    <n v="62.1"/>
    <x v="0"/>
  </r>
  <r>
    <s v="MISSING-30"/>
    <x v="9"/>
    <x v="1"/>
    <x v="3"/>
    <n v="3"/>
    <n v="12.72"/>
    <x v="4"/>
  </r>
  <r>
    <s v="MISSING-300"/>
    <x v="10"/>
    <x v="1"/>
    <x v="3"/>
    <n v="8"/>
    <n v="5.62"/>
    <x v="5"/>
  </r>
  <r>
    <s v="MISSING-5"/>
    <x v="11"/>
    <x v="1"/>
    <x v="4"/>
    <n v="4"/>
    <n v="48.36"/>
    <x v="4"/>
  </r>
  <r>
    <s v="MISSING-79"/>
    <x v="12"/>
    <x v="1"/>
    <x v="1"/>
    <n v="8"/>
    <n v="210"/>
    <x v="4"/>
  </r>
  <r>
    <s v="TRX00001"/>
    <x v="13"/>
    <x v="1"/>
    <x v="2"/>
    <n v="2"/>
    <n v="135.55000000000001"/>
    <x v="2"/>
  </r>
  <r>
    <s v="TRX00004"/>
    <x v="14"/>
    <x v="0"/>
    <x v="0"/>
    <n v="3"/>
    <n v="20.86"/>
    <x v="2"/>
  </r>
  <r>
    <s v="TRX00007"/>
    <x v="15"/>
    <x v="0"/>
    <x v="3"/>
    <n v="1"/>
    <n v="10.61"/>
    <x v="1"/>
  </r>
  <r>
    <s v="TRX00012"/>
    <x v="16"/>
    <x v="1"/>
    <x v="1"/>
    <n v="6"/>
    <n v="0"/>
    <x v="5"/>
  </r>
  <r>
    <s v="MISSING-82"/>
    <x v="17"/>
    <x v="1"/>
    <x v="4"/>
    <n v="1"/>
    <n v="45.21"/>
    <x v="3"/>
  </r>
  <r>
    <s v="TRX00013"/>
    <x v="18"/>
    <x v="0"/>
    <x v="4"/>
    <n v="5"/>
    <n v="57.14"/>
    <x v="4"/>
  </r>
  <r>
    <s v="TRX00015"/>
    <x v="19"/>
    <x v="0"/>
    <x v="5"/>
    <n v="2"/>
    <n v="22.32"/>
    <x v="1"/>
  </r>
  <r>
    <s v="MISSING-88"/>
    <x v="20"/>
    <x v="1"/>
    <x v="0"/>
    <n v="4"/>
    <n v="12.05"/>
    <x v="2"/>
  </r>
  <r>
    <s v="TRX00003"/>
    <x v="21"/>
    <x v="0"/>
    <x v="1"/>
    <n v="2"/>
    <n v="128.03"/>
    <x v="4"/>
  </r>
  <r>
    <s v="TRX00005"/>
    <x v="22"/>
    <x v="0"/>
    <x v="3"/>
    <n v="4"/>
    <n v="12.26"/>
    <x v="6"/>
  </r>
  <r>
    <s v="TRX00016"/>
    <x v="23"/>
    <x v="1"/>
    <x v="2"/>
    <n v="8"/>
    <n v="120.06"/>
    <x v="0"/>
  </r>
  <r>
    <s v="TRX00018"/>
    <x v="24"/>
    <x v="1"/>
    <x v="0"/>
    <n v="1"/>
    <n v="14.85"/>
    <x v="6"/>
  </r>
  <r>
    <s v="TRX00019"/>
    <x v="25"/>
    <x v="1"/>
    <x v="1"/>
    <n v="7"/>
    <n v="132.63"/>
    <x v="5"/>
  </r>
  <r>
    <s v="TRX00006"/>
    <x v="26"/>
    <x v="0"/>
    <x v="2"/>
    <n v="6"/>
    <n v="120.19"/>
    <x v="4"/>
  </r>
  <r>
    <s v="TRX00020"/>
    <x v="27"/>
    <x v="0"/>
    <x v="0"/>
    <n v="1"/>
    <n v="12.01"/>
    <x v="4"/>
  </r>
  <r>
    <s v="TRX00022"/>
    <x v="28"/>
    <x v="0"/>
    <x v="3"/>
    <n v="2"/>
    <n v="0"/>
    <x v="4"/>
  </r>
  <r>
    <s v="TRX00025"/>
    <x v="27"/>
    <x v="1"/>
    <x v="3"/>
    <n v="6"/>
    <n v="5.59"/>
    <x v="1"/>
  </r>
  <r>
    <s v="TRX00002"/>
    <x v="29"/>
    <x v="1"/>
    <x v="4"/>
    <n v="4"/>
    <n v="61.48"/>
    <x v="4"/>
  </r>
  <r>
    <s v="TRX00008"/>
    <x v="30"/>
    <x v="0"/>
    <x v="4"/>
    <n v="6"/>
    <n v="67.680000000000007"/>
    <x v="5"/>
  </r>
  <r>
    <s v="TRX00026"/>
    <x v="31"/>
    <x v="0"/>
    <x v="0"/>
    <n v="8"/>
    <n v="20.79"/>
    <x v="4"/>
  </r>
  <r>
    <s v="TRX00024"/>
    <x v="29"/>
    <x v="0"/>
    <x v="1"/>
    <n v="5"/>
    <n v="335.42"/>
    <x v="2"/>
  </r>
  <r>
    <s v="TRX00027"/>
    <x v="32"/>
    <x v="1"/>
    <x v="4"/>
    <n v="0"/>
    <n v="69.709999999999994"/>
    <x v="2"/>
  </r>
  <r>
    <s v="TRX00028"/>
    <x v="33"/>
    <x v="1"/>
    <x v="1"/>
    <n v="2"/>
    <n v="0"/>
    <x v="4"/>
  </r>
  <r>
    <s v="TRX00009"/>
    <x v="34"/>
    <x v="0"/>
    <x v="4"/>
    <n v="8"/>
    <n v="45.98"/>
    <x v="2"/>
  </r>
  <r>
    <s v="TRX00029"/>
    <x v="35"/>
    <x v="1"/>
    <x v="1"/>
    <n v="0"/>
    <n v="182"/>
    <x v="5"/>
  </r>
  <r>
    <s v="TRX00031"/>
    <x v="36"/>
    <x v="1"/>
    <x v="1"/>
    <n v="8"/>
    <n v="313.14"/>
    <x v="4"/>
  </r>
  <r>
    <s v="TRX00032"/>
    <x v="37"/>
    <x v="0"/>
    <x v="5"/>
    <n v="2"/>
    <n v="269.2"/>
    <x v="0"/>
  </r>
  <r>
    <s v="TRX00033"/>
    <x v="38"/>
    <x v="1"/>
    <x v="1"/>
    <n v="3"/>
    <n v="145.54"/>
    <x v="4"/>
  </r>
  <r>
    <s v="TRX00010"/>
    <x v="39"/>
    <x v="0"/>
    <x v="4"/>
    <n v="7"/>
    <n v="53.22"/>
    <x v="4"/>
  </r>
  <r>
    <s v="TRX00034"/>
    <x v="40"/>
    <x v="0"/>
    <x v="1"/>
    <n v="5"/>
    <n v="180.54"/>
    <x v="6"/>
  </r>
  <r>
    <s v="TRX00037"/>
    <x v="41"/>
    <x v="1"/>
    <x v="0"/>
    <n v="5"/>
    <n v="12.32"/>
    <x v="5"/>
  </r>
  <r>
    <s v="TRX00039"/>
    <x v="42"/>
    <x v="0"/>
    <x v="0"/>
    <n v="6"/>
    <n v="26.62"/>
    <x v="1"/>
  </r>
  <r>
    <s v="TRX00041"/>
    <x v="43"/>
    <x v="1"/>
    <x v="1"/>
    <n v="1"/>
    <n v="345.15"/>
    <x v="4"/>
  </r>
  <r>
    <s v="TRX00011"/>
    <x v="44"/>
    <x v="1"/>
    <x v="5"/>
    <n v="7"/>
    <n v="10.7"/>
    <x v="4"/>
  </r>
  <r>
    <s v="TRX00021"/>
    <x v="45"/>
    <x v="1"/>
    <x v="2"/>
    <n v="1"/>
    <n v="128.38999999999999"/>
    <x v="2"/>
  </r>
  <r>
    <s v="TRX00043"/>
    <x v="46"/>
    <x v="1"/>
    <x v="0"/>
    <n v="1"/>
    <n v="20.85"/>
    <x v="6"/>
  </r>
  <r>
    <s v="TRX00044"/>
    <x v="47"/>
    <x v="1"/>
    <x v="3"/>
    <n v="3"/>
    <n v="6.17"/>
    <x v="5"/>
  </r>
  <r>
    <s v="TRX00045"/>
    <x v="48"/>
    <x v="0"/>
    <x v="4"/>
    <n v="6"/>
    <n v="32.770000000000003"/>
    <x v="5"/>
  </r>
  <r>
    <s v="TRX00047"/>
    <x v="49"/>
    <x v="1"/>
    <x v="1"/>
    <n v="2"/>
    <n v="266.16000000000003"/>
    <x v="4"/>
  </r>
  <r>
    <s v="TRX00048"/>
    <x v="10"/>
    <x v="0"/>
    <x v="2"/>
    <n v="7"/>
    <n v="54.61"/>
    <x v="4"/>
  </r>
  <r>
    <s v="TRX00050"/>
    <x v="50"/>
    <x v="0"/>
    <x v="4"/>
    <n v="1"/>
    <n v="63.75"/>
    <x v="5"/>
  </r>
  <r>
    <s v="TRX00051"/>
    <x v="51"/>
    <x v="0"/>
    <x v="1"/>
    <n v="6"/>
    <n v="265.89999999999998"/>
    <x v="0"/>
  </r>
  <r>
    <s v="TRX00023"/>
    <x v="52"/>
    <x v="1"/>
    <x v="0"/>
    <n v="8"/>
    <n v="-1"/>
    <x v="2"/>
  </r>
  <r>
    <s v="TRX00055"/>
    <x v="53"/>
    <x v="0"/>
    <x v="3"/>
    <n v="6"/>
    <n v="7.75"/>
    <x v="6"/>
  </r>
  <r>
    <s v="TRX00056"/>
    <x v="54"/>
    <x v="0"/>
    <x v="4"/>
    <n v="5"/>
    <n v="47.62"/>
    <x v="4"/>
  </r>
  <r>
    <s v="TRX00036"/>
    <x v="52"/>
    <x v="1"/>
    <x v="4"/>
    <n v="5"/>
    <n v="28.03"/>
    <x v="5"/>
  </r>
  <r>
    <s v="TRX00060"/>
    <x v="55"/>
    <x v="1"/>
    <x v="0"/>
    <n v="8"/>
    <n v="16.79"/>
    <x v="3"/>
  </r>
  <r>
    <s v="TRX00040"/>
    <x v="56"/>
    <x v="0"/>
    <x v="4"/>
    <n v="5"/>
    <n v="67.28"/>
    <x v="4"/>
  </r>
  <r>
    <s v="TRX00038"/>
    <x v="29"/>
    <x v="0"/>
    <x v="1"/>
    <n v="7"/>
    <n v="253.2"/>
    <x v="4"/>
  </r>
  <r>
    <s v="TRX00061"/>
    <x v="57"/>
    <x v="0"/>
    <x v="1"/>
    <n v="3"/>
    <n v="199.14"/>
    <x v="2"/>
  </r>
  <r>
    <s v="TRX00063"/>
    <x v="58"/>
    <x v="1"/>
    <x v="0"/>
    <n v="6"/>
    <n v="13.68"/>
    <x v="4"/>
  </r>
  <r>
    <s v="TRX00042"/>
    <x v="59"/>
    <x v="0"/>
    <x v="3"/>
    <n v="5"/>
    <n v="10.32"/>
    <x v="4"/>
  </r>
  <r>
    <s v="TRX00049"/>
    <x v="60"/>
    <x v="0"/>
    <x v="0"/>
    <n v="4"/>
    <n v="21.02"/>
    <x v="0"/>
  </r>
  <r>
    <s v="TRX00053"/>
    <x v="2"/>
    <x v="1"/>
    <x v="5"/>
    <n v="2"/>
    <n v="64.44"/>
    <x v="2"/>
  </r>
  <r>
    <s v="TRX00065"/>
    <x v="61"/>
    <x v="0"/>
    <x v="0"/>
    <n v="8"/>
    <n v="21.72"/>
    <x v="5"/>
  </r>
  <r>
    <s v="TRX00066"/>
    <x v="62"/>
    <x v="1"/>
    <x v="1"/>
    <n v="8"/>
    <n v="245.1"/>
    <x v="5"/>
  </r>
  <r>
    <s v="TRX00054"/>
    <x v="63"/>
    <x v="0"/>
    <x v="3"/>
    <n v="5"/>
    <n v="8.39"/>
    <x v="0"/>
  </r>
  <r>
    <s v="TRX00058"/>
    <x v="29"/>
    <x v="1"/>
    <x v="1"/>
    <n v="5"/>
    <n v="235.34"/>
    <x v="4"/>
  </r>
  <r>
    <s v="TRX00068"/>
    <x v="8"/>
    <x v="0"/>
    <x v="5"/>
    <n v="4"/>
    <n v="60.52"/>
    <x v="3"/>
  </r>
  <r>
    <s v="TRX00057"/>
    <x v="64"/>
    <x v="1"/>
    <x v="4"/>
    <n v="7"/>
    <n v="28.52"/>
    <x v="4"/>
  </r>
  <r>
    <s v="TRX00070"/>
    <x v="29"/>
    <x v="1"/>
    <x v="4"/>
    <n v="6"/>
    <n v="43.97"/>
    <x v="1"/>
  </r>
  <r>
    <s v="TRX00069"/>
    <x v="65"/>
    <x v="0"/>
    <x v="0"/>
    <n v="6"/>
    <n v="20.92"/>
    <x v="4"/>
  </r>
  <r>
    <s v="TRX00072"/>
    <x v="55"/>
    <x v="1"/>
    <x v="2"/>
    <n v="5"/>
    <n v="113.84"/>
    <x v="5"/>
  </r>
  <r>
    <s v="TRX00073"/>
    <x v="38"/>
    <x v="1"/>
    <x v="1"/>
    <n v="8"/>
    <n v="332.65"/>
    <x v="2"/>
  </r>
  <r>
    <s v="TRX00075"/>
    <x v="66"/>
    <x v="1"/>
    <x v="1"/>
    <n v="8"/>
    <n v="129.69"/>
    <x v="4"/>
  </r>
  <r>
    <s v="TRX00077"/>
    <x v="67"/>
    <x v="1"/>
    <x v="4"/>
    <n v="4"/>
    <n v="47.8"/>
    <x v="4"/>
  </r>
  <r>
    <s v="TRX00079"/>
    <x v="68"/>
    <x v="1"/>
    <x v="0"/>
    <n v="4"/>
    <n v="21.71"/>
    <x v="2"/>
  </r>
  <r>
    <s v="TRX00080"/>
    <x v="69"/>
    <x v="1"/>
    <x v="4"/>
    <n v="3"/>
    <n v="65.849999999999994"/>
    <x v="4"/>
  </r>
  <r>
    <s v="TRX00059"/>
    <x v="70"/>
    <x v="1"/>
    <x v="4"/>
    <n v="5"/>
    <n v="68.87"/>
    <x v="4"/>
  </r>
  <r>
    <s v="TRX00083"/>
    <x v="71"/>
    <x v="1"/>
    <x v="1"/>
    <n v="0"/>
    <n v="144.02000000000001"/>
    <x v="4"/>
  </r>
  <r>
    <s v="TRX00085"/>
    <x v="72"/>
    <x v="1"/>
    <x v="0"/>
    <n v="4"/>
    <n v="19.059999999999999"/>
    <x v="4"/>
  </r>
  <r>
    <s v="TRX00062"/>
    <x v="73"/>
    <x v="0"/>
    <x v="1"/>
    <n v="8"/>
    <n v="272.25"/>
    <x v="6"/>
  </r>
  <r>
    <s v="TRX00086"/>
    <x v="74"/>
    <x v="0"/>
    <x v="2"/>
    <n v="1"/>
    <n v="117.2"/>
    <x v="0"/>
  </r>
  <r>
    <s v="TRX00087"/>
    <x v="14"/>
    <x v="0"/>
    <x v="4"/>
    <n v="0"/>
    <n v="41.97"/>
    <x v="2"/>
  </r>
  <r>
    <s v="TRX00064"/>
    <x v="0"/>
    <x v="0"/>
    <x v="3"/>
    <n v="4"/>
    <n v="6.56"/>
    <x v="5"/>
  </r>
  <r>
    <s v="TRX00088"/>
    <x v="28"/>
    <x v="1"/>
    <x v="4"/>
    <n v="5"/>
    <n v="42.76"/>
    <x v="4"/>
  </r>
  <r>
    <s v="TRX00089"/>
    <x v="75"/>
    <x v="1"/>
    <x v="4"/>
    <n v="8"/>
    <n v="62.45"/>
    <x v="6"/>
  </r>
  <r>
    <s v="TRX00090"/>
    <x v="76"/>
    <x v="0"/>
    <x v="2"/>
    <n v="2"/>
    <n v="68.16"/>
    <x v="0"/>
  </r>
  <r>
    <s v="TRX00091"/>
    <x v="77"/>
    <x v="1"/>
    <x v="2"/>
    <n v="4"/>
    <n v="70.97"/>
    <x v="0"/>
  </r>
  <r>
    <s v="TRX00092"/>
    <x v="78"/>
    <x v="0"/>
    <x v="0"/>
    <n v="6"/>
    <n v="25.06"/>
    <x v="1"/>
  </r>
  <r>
    <s v="TRX00067"/>
    <x v="79"/>
    <x v="1"/>
    <x v="4"/>
    <n v="4"/>
    <n v="48.88"/>
    <x v="3"/>
  </r>
  <r>
    <s v="TRX00071"/>
    <x v="80"/>
    <x v="0"/>
    <x v="1"/>
    <n v="7"/>
    <n v="344.08"/>
    <x v="4"/>
  </r>
  <r>
    <s v="TRX00093"/>
    <x v="81"/>
    <x v="1"/>
    <x v="4"/>
    <n v="5"/>
    <n v="37.11"/>
    <x v="4"/>
  </r>
  <r>
    <s v="TRX00076"/>
    <x v="82"/>
    <x v="0"/>
    <x v="4"/>
    <n v="1"/>
    <n v="33.549999999999997"/>
    <x v="3"/>
  </r>
  <r>
    <s v="TRX00096"/>
    <x v="83"/>
    <x v="1"/>
    <x v="3"/>
    <n v="2"/>
    <n v="12.08"/>
    <x v="3"/>
  </r>
  <r>
    <s v="TRX00078"/>
    <x v="84"/>
    <x v="1"/>
    <x v="0"/>
    <n v="3"/>
    <n v="0"/>
    <x v="5"/>
  </r>
  <r>
    <s v="TRX00081"/>
    <x v="85"/>
    <x v="1"/>
    <x v="0"/>
    <n v="8"/>
    <n v="23.29"/>
    <x v="1"/>
  </r>
  <r>
    <s v="TRX00117"/>
    <x v="29"/>
    <x v="0"/>
    <x v="2"/>
    <n v="1"/>
    <n v="52.75"/>
    <x v="0"/>
  </r>
  <r>
    <s v="TRX00097"/>
    <x v="86"/>
    <x v="1"/>
    <x v="1"/>
    <n v="1"/>
    <n v="239.6"/>
    <x v="0"/>
  </r>
  <r>
    <s v="TRX00098"/>
    <x v="87"/>
    <x v="1"/>
    <x v="4"/>
    <n v="3"/>
    <n v="46.32"/>
    <x v="1"/>
  </r>
  <r>
    <s v="TRX00099"/>
    <x v="88"/>
    <x v="1"/>
    <x v="4"/>
    <n v="3"/>
    <n v="54.06"/>
    <x v="4"/>
  </r>
  <r>
    <s v="TRX00082"/>
    <x v="89"/>
    <x v="0"/>
    <x v="1"/>
    <n v="6"/>
    <n v="0"/>
    <x v="6"/>
  </r>
  <r>
    <s v="TRX00105"/>
    <x v="90"/>
    <x v="1"/>
    <x v="1"/>
    <n v="2"/>
    <n v="206.18"/>
    <x v="5"/>
  </r>
  <r>
    <s v="TRX00108"/>
    <x v="91"/>
    <x v="1"/>
    <x v="3"/>
    <n v="8"/>
    <n v="12.76"/>
    <x v="3"/>
  </r>
  <r>
    <s v="TRX00109"/>
    <x v="92"/>
    <x v="0"/>
    <x v="0"/>
    <n v="0"/>
    <n v="16.510000000000002"/>
    <x v="5"/>
  </r>
  <r>
    <s v="TRX00084"/>
    <x v="93"/>
    <x v="1"/>
    <x v="0"/>
    <n v="4"/>
    <n v="28.19"/>
    <x v="4"/>
  </r>
  <r>
    <s v="TRX00094"/>
    <x v="82"/>
    <x v="0"/>
    <x v="1"/>
    <n v="7"/>
    <n v="265.88"/>
    <x v="4"/>
  </r>
  <r>
    <s v="TRX00110"/>
    <x v="94"/>
    <x v="1"/>
    <x v="0"/>
    <n v="5"/>
    <n v="11.09"/>
    <x v="4"/>
  </r>
  <r>
    <s v="TRX00111"/>
    <x v="95"/>
    <x v="1"/>
    <x v="4"/>
    <n v="7"/>
    <n v="66.59"/>
    <x v="4"/>
  </r>
  <r>
    <s v="TRX00112"/>
    <x v="96"/>
    <x v="1"/>
    <x v="1"/>
    <n v="6"/>
    <n v="255.37"/>
    <x v="5"/>
  </r>
  <r>
    <s v="TRX00120"/>
    <x v="97"/>
    <x v="1"/>
    <x v="0"/>
    <n v="4"/>
    <n v="19.88"/>
    <x v="6"/>
  </r>
  <r>
    <s v="TRX00121"/>
    <x v="98"/>
    <x v="1"/>
    <x v="2"/>
    <n v="3"/>
    <n v="118.11"/>
    <x v="4"/>
  </r>
  <r>
    <s v="TRX00124"/>
    <x v="99"/>
    <x v="1"/>
    <x v="1"/>
    <n v="2"/>
    <n v="187.79"/>
    <x v="4"/>
  </r>
  <r>
    <s v="TRX00126"/>
    <x v="29"/>
    <x v="1"/>
    <x v="1"/>
    <n v="3"/>
    <n v="259.64999999999998"/>
    <x v="2"/>
  </r>
  <r>
    <s v="TRX00128"/>
    <x v="100"/>
    <x v="0"/>
    <x v="3"/>
    <n v="3"/>
    <n v="9.18"/>
    <x v="2"/>
  </r>
  <r>
    <s v="TRX00129"/>
    <x v="101"/>
    <x v="1"/>
    <x v="1"/>
    <n v="6"/>
    <n v="329.67"/>
    <x v="4"/>
  </r>
  <r>
    <s v="TRX00095"/>
    <x v="102"/>
    <x v="0"/>
    <x v="2"/>
    <n v="6"/>
    <n v="52.87"/>
    <x v="3"/>
  </r>
  <r>
    <s v="TRX00100"/>
    <x v="103"/>
    <x v="1"/>
    <x v="0"/>
    <n v="8"/>
    <n v="12.24"/>
    <x v="0"/>
  </r>
  <r>
    <s v="TRX00130"/>
    <x v="104"/>
    <x v="0"/>
    <x v="5"/>
    <n v="7"/>
    <n v="71.22"/>
    <x v="0"/>
  </r>
  <r>
    <s v="TRX00132"/>
    <x v="16"/>
    <x v="0"/>
    <x v="4"/>
    <n v="4"/>
    <n v="70.36"/>
    <x v="3"/>
  </r>
  <r>
    <s v="TRX00133"/>
    <x v="105"/>
    <x v="0"/>
    <x v="0"/>
    <n v="4"/>
    <n v="24.99"/>
    <x v="4"/>
  </r>
  <r>
    <s v="TRX00137"/>
    <x v="106"/>
    <x v="1"/>
    <x v="5"/>
    <n v="3"/>
    <n v="16.54"/>
    <x v="4"/>
  </r>
  <r>
    <s v="TRX00138"/>
    <x v="107"/>
    <x v="1"/>
    <x v="0"/>
    <n v="3"/>
    <n v="26.83"/>
    <x v="4"/>
  </r>
  <r>
    <s v="TRX00168"/>
    <x v="29"/>
    <x v="1"/>
    <x v="4"/>
    <n v="7"/>
    <n v="29.41"/>
    <x v="4"/>
  </r>
  <r>
    <s v="TRX00101"/>
    <x v="108"/>
    <x v="1"/>
    <x v="0"/>
    <n v="7"/>
    <n v="22.38"/>
    <x v="4"/>
  </r>
  <r>
    <s v="TRX00139"/>
    <x v="105"/>
    <x v="0"/>
    <x v="1"/>
    <n v="7"/>
    <n v="145.01"/>
    <x v="2"/>
  </r>
  <r>
    <s v="TRX00102"/>
    <x v="109"/>
    <x v="1"/>
    <x v="1"/>
    <n v="3"/>
    <n v="123.7"/>
    <x v="2"/>
  </r>
  <r>
    <s v="TRX00103"/>
    <x v="110"/>
    <x v="1"/>
    <x v="4"/>
    <n v="1"/>
    <n v="36.229999999999997"/>
    <x v="4"/>
  </r>
  <r>
    <s v="TRX00104"/>
    <x v="111"/>
    <x v="0"/>
    <x v="5"/>
    <n v="7"/>
    <n v="90.6"/>
    <x v="2"/>
  </r>
  <r>
    <s v="TRX00106"/>
    <x v="112"/>
    <x v="0"/>
    <x v="4"/>
    <n v="5"/>
    <n v="55.05"/>
    <x v="1"/>
  </r>
  <r>
    <s v="TRX00107"/>
    <x v="2"/>
    <x v="0"/>
    <x v="3"/>
    <n v="7"/>
    <n v="0"/>
    <x v="4"/>
  </r>
  <r>
    <s v="TRX00141"/>
    <x v="113"/>
    <x v="1"/>
    <x v="1"/>
    <n v="1"/>
    <n v="153.24"/>
    <x v="2"/>
  </r>
  <r>
    <s v="TRX00113"/>
    <x v="114"/>
    <x v="0"/>
    <x v="0"/>
    <n v="8"/>
    <n v="22.92"/>
    <x v="2"/>
  </r>
  <r>
    <s v="TRX00114"/>
    <x v="115"/>
    <x v="0"/>
    <x v="0"/>
    <n v="2"/>
    <n v="19.5"/>
    <x v="4"/>
  </r>
  <r>
    <s v="TRX00142"/>
    <x v="116"/>
    <x v="0"/>
    <x v="1"/>
    <n v="1"/>
    <n v="193.89"/>
    <x v="5"/>
  </r>
  <r>
    <s v="TRX00143"/>
    <x v="117"/>
    <x v="0"/>
    <x v="5"/>
    <n v="2"/>
    <n v="0"/>
    <x v="5"/>
  </r>
  <r>
    <s v="TRX00144"/>
    <x v="81"/>
    <x v="1"/>
    <x v="4"/>
    <n v="5"/>
    <n v="45.89"/>
    <x v="4"/>
  </r>
  <r>
    <s v="TRX00146"/>
    <x v="118"/>
    <x v="0"/>
    <x v="0"/>
    <n v="2"/>
    <n v="16.940000000000001"/>
    <x v="6"/>
  </r>
  <r>
    <s v="TRX00115"/>
    <x v="119"/>
    <x v="1"/>
    <x v="4"/>
    <n v="5"/>
    <n v="25.76"/>
    <x v="3"/>
  </r>
  <r>
    <s v="TRX00149"/>
    <x v="120"/>
    <x v="0"/>
    <x v="0"/>
    <n v="8"/>
    <n v="28.43"/>
    <x v="1"/>
  </r>
  <r>
    <s v="TRX00150"/>
    <x v="98"/>
    <x v="0"/>
    <x v="0"/>
    <n v="3"/>
    <n v="24.22"/>
    <x v="4"/>
  </r>
  <r>
    <s v="TRX00173"/>
    <x v="29"/>
    <x v="1"/>
    <x v="4"/>
    <n v="4"/>
    <n v="54.66"/>
    <x v="5"/>
  </r>
  <r>
    <s v="TRX00153"/>
    <x v="49"/>
    <x v="1"/>
    <x v="1"/>
    <n v="2"/>
    <n v="165.11"/>
    <x v="3"/>
  </r>
  <r>
    <s v="TRX00155"/>
    <x v="121"/>
    <x v="0"/>
    <x v="1"/>
    <n v="1"/>
    <n v="235.54"/>
    <x v="2"/>
  </r>
  <r>
    <s v="TRX00116"/>
    <x v="122"/>
    <x v="0"/>
    <x v="0"/>
    <n v="7"/>
    <n v="14.03"/>
    <x v="4"/>
  </r>
  <r>
    <s v="TRX00156"/>
    <x v="123"/>
    <x v="0"/>
    <x v="3"/>
    <n v="2"/>
    <n v="5.6"/>
    <x v="6"/>
  </r>
  <r>
    <s v="TRX00157"/>
    <x v="124"/>
    <x v="0"/>
    <x v="1"/>
    <n v="2"/>
    <n v="340"/>
    <x v="3"/>
  </r>
  <r>
    <s v="TRX00118"/>
    <x v="125"/>
    <x v="1"/>
    <x v="1"/>
    <n v="8"/>
    <n v="186.36"/>
    <x v="4"/>
  </r>
  <r>
    <s v="TRX00158"/>
    <x v="16"/>
    <x v="0"/>
    <x v="1"/>
    <n v="5"/>
    <n v="0"/>
    <x v="3"/>
  </r>
  <r>
    <s v="TRX00122"/>
    <x v="63"/>
    <x v="0"/>
    <x v="4"/>
    <n v="1"/>
    <n v="54.06"/>
    <x v="4"/>
  </r>
  <r>
    <s v="TRX00159"/>
    <x v="126"/>
    <x v="0"/>
    <x v="3"/>
    <n v="2"/>
    <n v="6.08"/>
    <x v="2"/>
  </r>
  <r>
    <s v="TRX00160"/>
    <x v="127"/>
    <x v="1"/>
    <x v="2"/>
    <n v="5"/>
    <n v="99.46"/>
    <x v="2"/>
  </r>
  <r>
    <s v="TRX00123"/>
    <x v="128"/>
    <x v="0"/>
    <x v="0"/>
    <n v="2"/>
    <n v="0"/>
    <x v="4"/>
  </r>
  <r>
    <s v="TRX00165"/>
    <x v="129"/>
    <x v="1"/>
    <x v="4"/>
    <n v="3"/>
    <n v="52.56"/>
    <x v="3"/>
  </r>
  <r>
    <s v="TRX00125"/>
    <x v="115"/>
    <x v="0"/>
    <x v="2"/>
    <n v="7"/>
    <n v="74.180000000000007"/>
    <x v="6"/>
  </r>
  <r>
    <s v="TRX00166"/>
    <x v="130"/>
    <x v="0"/>
    <x v="0"/>
    <n v="3"/>
    <n v="18.850000000000001"/>
    <x v="4"/>
  </r>
  <r>
    <s v="TRX00167"/>
    <x v="131"/>
    <x v="1"/>
    <x v="1"/>
    <n v="7"/>
    <n v="327.5"/>
    <x v="0"/>
  </r>
  <r>
    <s v="TRX00127"/>
    <x v="132"/>
    <x v="1"/>
    <x v="2"/>
    <n v="4"/>
    <n v="126.55"/>
    <x v="6"/>
  </r>
  <r>
    <s v="TRX00131"/>
    <x v="133"/>
    <x v="1"/>
    <x v="1"/>
    <n v="1"/>
    <n v="132.47999999999999"/>
    <x v="4"/>
  </r>
  <r>
    <s v="TRX00170"/>
    <x v="8"/>
    <x v="1"/>
    <x v="1"/>
    <n v="8"/>
    <n v="291.13"/>
    <x v="4"/>
  </r>
  <r>
    <s v="TRX00171"/>
    <x v="134"/>
    <x v="0"/>
    <x v="1"/>
    <n v="2"/>
    <n v="314.92"/>
    <x v="4"/>
  </r>
  <r>
    <s v="TRX00134"/>
    <x v="135"/>
    <x v="1"/>
    <x v="4"/>
    <n v="1"/>
    <n v="46.34"/>
    <x v="1"/>
  </r>
  <r>
    <s v="TRX00174"/>
    <x v="136"/>
    <x v="1"/>
    <x v="1"/>
    <n v="31"/>
    <n v="351.05"/>
    <x v="3"/>
  </r>
  <r>
    <s v="TRX00176"/>
    <x v="137"/>
    <x v="1"/>
    <x v="0"/>
    <n v="5"/>
    <n v="13.02"/>
    <x v="4"/>
  </r>
  <r>
    <s v="TRX00135"/>
    <x v="138"/>
    <x v="1"/>
    <x v="0"/>
    <n v="8"/>
    <n v="0"/>
    <x v="2"/>
  </r>
  <r>
    <s v="TRX00179"/>
    <x v="139"/>
    <x v="0"/>
    <x v="4"/>
    <n v="6"/>
    <n v="42.2"/>
    <x v="4"/>
  </r>
  <r>
    <s v="TRX00136"/>
    <x v="140"/>
    <x v="0"/>
    <x v="0"/>
    <n v="1"/>
    <n v="0"/>
    <x v="4"/>
  </r>
  <r>
    <s v="TRX00140"/>
    <x v="141"/>
    <x v="0"/>
    <x v="2"/>
    <n v="2"/>
    <n v="134.85"/>
    <x v="2"/>
  </r>
  <r>
    <s v="TRX00181"/>
    <x v="107"/>
    <x v="1"/>
    <x v="3"/>
    <n v="5"/>
    <n v="10.63"/>
    <x v="5"/>
  </r>
  <r>
    <s v="TRX00145"/>
    <x v="142"/>
    <x v="0"/>
    <x v="0"/>
    <n v="2"/>
    <n v="17.45"/>
    <x v="6"/>
  </r>
  <r>
    <s v="TRX00182"/>
    <x v="143"/>
    <x v="0"/>
    <x v="4"/>
    <n v="8"/>
    <n v="50.43"/>
    <x v="4"/>
  </r>
  <r>
    <s v="TRX00183"/>
    <x v="144"/>
    <x v="0"/>
    <x v="2"/>
    <n v="4"/>
    <n v="134.88999999999999"/>
    <x v="3"/>
  </r>
  <r>
    <s v="TRX00191"/>
    <x v="29"/>
    <x v="1"/>
    <x v="0"/>
    <n v="6"/>
    <n v="15.12"/>
    <x v="5"/>
  </r>
  <r>
    <s v="TRX00186"/>
    <x v="126"/>
    <x v="0"/>
    <x v="1"/>
    <n v="4"/>
    <n v="249.79"/>
    <x v="0"/>
  </r>
  <r>
    <s v="TRX00188"/>
    <x v="145"/>
    <x v="1"/>
    <x v="1"/>
    <n v="0"/>
    <n v="319.92"/>
    <x v="4"/>
  </r>
  <r>
    <s v="TRX00190"/>
    <x v="146"/>
    <x v="0"/>
    <x v="2"/>
    <n v="1"/>
    <n v="75.39"/>
    <x v="4"/>
  </r>
  <r>
    <s v="TRX00147"/>
    <x v="147"/>
    <x v="0"/>
    <x v="0"/>
    <n v="7"/>
    <n v="20"/>
    <x v="0"/>
  </r>
  <r>
    <s v="TRX00192"/>
    <x v="83"/>
    <x v="0"/>
    <x v="5"/>
    <n v="3"/>
    <n v="158.86000000000001"/>
    <x v="2"/>
  </r>
  <r>
    <s v="TRX00193"/>
    <x v="148"/>
    <x v="1"/>
    <x v="0"/>
    <n v="5"/>
    <n v="22.34"/>
    <x v="2"/>
  </r>
  <r>
    <s v="TRX00148"/>
    <x v="149"/>
    <x v="1"/>
    <x v="0"/>
    <n v="6"/>
    <n v="18.27"/>
    <x v="0"/>
  </r>
  <r>
    <s v="TRX00151"/>
    <x v="150"/>
    <x v="0"/>
    <x v="3"/>
    <n v="6"/>
    <n v="4.93"/>
    <x v="5"/>
  </r>
  <r>
    <s v="TRX00152"/>
    <x v="151"/>
    <x v="0"/>
    <x v="5"/>
    <n v="3"/>
    <n v="138.38999999999999"/>
    <x v="3"/>
  </r>
  <r>
    <s v="TRX00161"/>
    <x v="93"/>
    <x v="1"/>
    <x v="1"/>
    <n v="0"/>
    <n v="270.89"/>
    <x v="5"/>
  </r>
  <r>
    <s v="TRX00194"/>
    <x v="152"/>
    <x v="0"/>
    <x v="3"/>
    <n v="1"/>
    <n v="9.2799999999999994"/>
    <x v="4"/>
  </r>
  <r>
    <s v="TRX00197"/>
    <x v="153"/>
    <x v="1"/>
    <x v="3"/>
    <n v="0"/>
    <n v="5.18"/>
    <x v="0"/>
  </r>
  <r>
    <s v="TRX00198"/>
    <x v="154"/>
    <x v="0"/>
    <x v="5"/>
    <n v="6"/>
    <n v="10.79"/>
    <x v="0"/>
  </r>
  <r>
    <s v="TRX00201"/>
    <x v="155"/>
    <x v="0"/>
    <x v="0"/>
    <n v="7"/>
    <n v="11.53"/>
    <x v="5"/>
  </r>
  <r>
    <s v="TRX00202"/>
    <x v="156"/>
    <x v="0"/>
    <x v="0"/>
    <n v="6"/>
    <n v="15.84"/>
    <x v="5"/>
  </r>
  <r>
    <s v="TRX00205"/>
    <x v="157"/>
    <x v="0"/>
    <x v="2"/>
    <n v="5"/>
    <n v="73.55"/>
    <x v="1"/>
  </r>
  <r>
    <s v="TRX00162"/>
    <x v="158"/>
    <x v="1"/>
    <x v="4"/>
    <n v="7"/>
    <n v="48.09"/>
    <x v="6"/>
  </r>
  <r>
    <s v="TRX00195"/>
    <x v="29"/>
    <x v="1"/>
    <x v="3"/>
    <n v="4"/>
    <n v="7.21"/>
    <x v="2"/>
  </r>
  <r>
    <s v="TRX00199"/>
    <x v="29"/>
    <x v="1"/>
    <x v="4"/>
    <n v="4"/>
    <n v="47.56"/>
    <x v="4"/>
  </r>
  <r>
    <s v="TRX00206"/>
    <x v="159"/>
    <x v="1"/>
    <x v="3"/>
    <n v="0"/>
    <n v="6.03"/>
    <x v="4"/>
  </r>
  <r>
    <s v="TRX00207"/>
    <x v="160"/>
    <x v="1"/>
    <x v="1"/>
    <n v="7"/>
    <n v="316.54000000000002"/>
    <x v="2"/>
  </r>
  <r>
    <s v="TRX00208"/>
    <x v="161"/>
    <x v="0"/>
    <x v="0"/>
    <n v="3"/>
    <n v="14.47"/>
    <x v="3"/>
  </r>
  <r>
    <s v="TRX00163"/>
    <x v="162"/>
    <x v="1"/>
    <x v="0"/>
    <n v="2"/>
    <n v="13.02"/>
    <x v="4"/>
  </r>
  <r>
    <s v="TRX00164"/>
    <x v="163"/>
    <x v="0"/>
    <x v="4"/>
    <n v="8"/>
    <n v="60.52"/>
    <x v="4"/>
  </r>
  <r>
    <s v="TRX00210"/>
    <x v="29"/>
    <x v="0"/>
    <x v="4"/>
    <n v="3"/>
    <n v="39.08"/>
    <x v="4"/>
  </r>
  <r>
    <s v="TRX00209"/>
    <x v="164"/>
    <x v="1"/>
    <x v="0"/>
    <n v="30"/>
    <n v="23.37"/>
    <x v="3"/>
  </r>
  <r>
    <s v="TRX00169"/>
    <x v="165"/>
    <x v="1"/>
    <x v="2"/>
    <n v="8"/>
    <n v="120.09"/>
    <x v="4"/>
  </r>
  <r>
    <s v="TRX00212"/>
    <x v="166"/>
    <x v="0"/>
    <x v="0"/>
    <n v="2"/>
    <n v="16.920000000000002"/>
    <x v="6"/>
  </r>
  <r>
    <s v="TRX00172"/>
    <x v="20"/>
    <x v="0"/>
    <x v="3"/>
    <n v="4"/>
    <n v="10.54"/>
    <x v="4"/>
  </r>
  <r>
    <s v="TRX00213"/>
    <x v="94"/>
    <x v="1"/>
    <x v="2"/>
    <n v="8"/>
    <n v="128.55000000000001"/>
    <x v="2"/>
  </r>
  <r>
    <s v="TRX00177"/>
    <x v="64"/>
    <x v="0"/>
    <x v="1"/>
    <n v="1"/>
    <n v="0"/>
    <x v="5"/>
  </r>
  <r>
    <s v="TRX00216"/>
    <x v="167"/>
    <x v="0"/>
    <x v="3"/>
    <n v="6"/>
    <n v="7.33"/>
    <x v="4"/>
  </r>
  <r>
    <s v="TRX00217"/>
    <x v="168"/>
    <x v="1"/>
    <x v="2"/>
    <n v="5"/>
    <n v="95.46"/>
    <x v="4"/>
  </r>
  <r>
    <s v="TRX00178"/>
    <x v="111"/>
    <x v="0"/>
    <x v="0"/>
    <n v="5"/>
    <n v="13.24"/>
    <x v="5"/>
  </r>
  <r>
    <s v="TRX00218"/>
    <x v="169"/>
    <x v="0"/>
    <x v="2"/>
    <n v="5"/>
    <n v="118.93"/>
    <x v="0"/>
  </r>
  <r>
    <s v="TRX00219"/>
    <x v="170"/>
    <x v="1"/>
    <x v="4"/>
    <n v="1"/>
    <n v="53.33"/>
    <x v="1"/>
  </r>
  <r>
    <s v="TRX00220"/>
    <x v="171"/>
    <x v="1"/>
    <x v="0"/>
    <n v="1"/>
    <n v="10.73"/>
    <x v="4"/>
  </r>
  <r>
    <s v="TRX00180"/>
    <x v="172"/>
    <x v="0"/>
    <x v="5"/>
    <n v="3"/>
    <n v="16.579999999999998"/>
    <x v="2"/>
  </r>
  <r>
    <s v="TRX00221"/>
    <x v="173"/>
    <x v="0"/>
    <x v="3"/>
    <n v="3"/>
    <n v="0"/>
    <x v="4"/>
  </r>
  <r>
    <s v="TRX00222"/>
    <x v="164"/>
    <x v="0"/>
    <x v="5"/>
    <n v="0"/>
    <n v="50.49"/>
    <x v="3"/>
  </r>
  <r>
    <s v="TRX00225"/>
    <x v="174"/>
    <x v="1"/>
    <x v="3"/>
    <n v="5"/>
    <n v="6.36"/>
    <x v="3"/>
  </r>
  <r>
    <s v="TRX00227"/>
    <x v="175"/>
    <x v="1"/>
    <x v="4"/>
    <n v="8"/>
    <n v="68.62"/>
    <x v="4"/>
  </r>
  <r>
    <s v="TRX00184"/>
    <x v="176"/>
    <x v="0"/>
    <x v="2"/>
    <n v="6"/>
    <n v="0"/>
    <x v="4"/>
  </r>
  <r>
    <s v="TRX00228"/>
    <x v="177"/>
    <x v="1"/>
    <x v="1"/>
    <n v="4"/>
    <n v="171.79"/>
    <x v="1"/>
  </r>
  <r>
    <s v="TRX00229"/>
    <x v="104"/>
    <x v="0"/>
    <x v="1"/>
    <n v="2"/>
    <n v="157.30000000000001"/>
    <x v="4"/>
  </r>
  <r>
    <s v="TRX00230"/>
    <x v="178"/>
    <x v="0"/>
    <x v="1"/>
    <n v="7"/>
    <n v="148.72999999999999"/>
    <x v="4"/>
  </r>
  <r>
    <s v="TRX00231"/>
    <x v="179"/>
    <x v="1"/>
    <x v="0"/>
    <n v="4"/>
    <n v="23.96"/>
    <x v="4"/>
  </r>
  <r>
    <s v="TRX00185"/>
    <x v="180"/>
    <x v="1"/>
    <x v="4"/>
    <n v="2"/>
    <n v="0"/>
    <x v="5"/>
  </r>
  <r>
    <s v="TRX00211"/>
    <x v="29"/>
    <x v="0"/>
    <x v="1"/>
    <n v="5"/>
    <n v="141.30000000000001"/>
    <x v="1"/>
  </r>
  <r>
    <s v="TRX00232"/>
    <x v="153"/>
    <x v="0"/>
    <x v="0"/>
    <n v="2"/>
    <n v="26.91"/>
    <x v="5"/>
  </r>
  <r>
    <s v="TRX00187"/>
    <x v="181"/>
    <x v="0"/>
    <x v="1"/>
    <n v="3"/>
    <n v="222.71"/>
    <x v="4"/>
  </r>
  <r>
    <s v="TRX00233"/>
    <x v="182"/>
    <x v="1"/>
    <x v="0"/>
    <n v="2"/>
    <n v="24.06"/>
    <x v="4"/>
  </r>
  <r>
    <s v="TRX00234"/>
    <x v="15"/>
    <x v="1"/>
    <x v="4"/>
    <n v="6"/>
    <n v="34.22"/>
    <x v="1"/>
  </r>
  <r>
    <s v="TRX00237"/>
    <x v="183"/>
    <x v="0"/>
    <x v="5"/>
    <n v="2"/>
    <n v="27.15"/>
    <x v="4"/>
  </r>
  <r>
    <s v="TRX00189"/>
    <x v="64"/>
    <x v="1"/>
    <x v="3"/>
    <n v="2"/>
    <n v="10.43"/>
    <x v="4"/>
  </r>
  <r>
    <s v="TRX00238"/>
    <x v="184"/>
    <x v="1"/>
    <x v="0"/>
    <n v="0"/>
    <n v="15.51"/>
    <x v="4"/>
  </r>
  <r>
    <s v="TRX00240"/>
    <x v="185"/>
    <x v="1"/>
    <x v="0"/>
    <n v="2"/>
    <n v="26.75"/>
    <x v="5"/>
  </r>
  <r>
    <s v="TRX00196"/>
    <x v="186"/>
    <x v="1"/>
    <x v="1"/>
    <n v="8"/>
    <n v="166.03"/>
    <x v="4"/>
  </r>
  <r>
    <s v="TRX00200"/>
    <x v="187"/>
    <x v="0"/>
    <x v="5"/>
    <n v="6"/>
    <n v="19.32"/>
    <x v="1"/>
  </r>
  <r>
    <s v="TRX00243"/>
    <x v="188"/>
    <x v="0"/>
    <x v="2"/>
    <n v="3"/>
    <n v="103.71"/>
    <x v="4"/>
  </r>
  <r>
    <s v="TRX00244"/>
    <x v="25"/>
    <x v="1"/>
    <x v="3"/>
    <n v="8"/>
    <n v="8.06"/>
    <x v="5"/>
  </r>
  <r>
    <s v="TRX00245"/>
    <x v="189"/>
    <x v="0"/>
    <x v="1"/>
    <n v="0"/>
    <n v="238.71"/>
    <x v="5"/>
  </r>
  <r>
    <s v="TRX00246"/>
    <x v="146"/>
    <x v="1"/>
    <x v="4"/>
    <n v="2"/>
    <n v="52.79"/>
    <x v="0"/>
  </r>
  <r>
    <s v="TRX00247"/>
    <x v="190"/>
    <x v="1"/>
    <x v="0"/>
    <n v="0"/>
    <n v="23.87"/>
    <x v="4"/>
  </r>
  <r>
    <s v="TRX00250"/>
    <x v="191"/>
    <x v="1"/>
    <x v="3"/>
    <n v="4"/>
    <n v="7.95"/>
    <x v="0"/>
  </r>
  <r>
    <s v="TRX00203"/>
    <x v="192"/>
    <x v="0"/>
    <x v="0"/>
    <n v="8"/>
    <n v="11.15"/>
    <x v="1"/>
  </r>
  <r>
    <s v="TRX00251"/>
    <x v="193"/>
    <x v="1"/>
    <x v="2"/>
    <n v="1"/>
    <n v="72.260000000000005"/>
    <x v="5"/>
  </r>
  <r>
    <s v="TRX00253"/>
    <x v="193"/>
    <x v="1"/>
    <x v="0"/>
    <n v="6"/>
    <n v="15.41"/>
    <x v="4"/>
  </r>
  <r>
    <s v="TRX00254"/>
    <x v="194"/>
    <x v="1"/>
    <x v="0"/>
    <n v="5"/>
    <n v="27.9"/>
    <x v="1"/>
  </r>
  <r>
    <s v="TRX00255"/>
    <x v="195"/>
    <x v="1"/>
    <x v="0"/>
    <n v="3"/>
    <n v="26.08"/>
    <x v="4"/>
  </r>
  <r>
    <s v="TRX00257"/>
    <x v="196"/>
    <x v="1"/>
    <x v="1"/>
    <n v="0"/>
    <n v="225.04"/>
    <x v="4"/>
  </r>
  <r>
    <s v="TRX00258"/>
    <x v="157"/>
    <x v="1"/>
    <x v="2"/>
    <n v="3"/>
    <n v="95.25"/>
    <x v="2"/>
  </r>
  <r>
    <s v="TRX00214"/>
    <x v="197"/>
    <x v="0"/>
    <x v="4"/>
    <n v="8"/>
    <n v="38.53"/>
    <x v="4"/>
  </r>
  <r>
    <s v="TRX00260"/>
    <x v="9"/>
    <x v="0"/>
    <x v="3"/>
    <n v="5"/>
    <n v="5.58"/>
    <x v="2"/>
  </r>
  <r>
    <s v="TRX00261"/>
    <x v="171"/>
    <x v="0"/>
    <x v="0"/>
    <n v="8"/>
    <n v="25.74"/>
    <x v="4"/>
  </r>
  <r>
    <s v="TRX00262"/>
    <x v="36"/>
    <x v="1"/>
    <x v="4"/>
    <n v="8"/>
    <n v="39.08"/>
    <x v="5"/>
  </r>
  <r>
    <s v="TRX00266"/>
    <x v="159"/>
    <x v="0"/>
    <x v="2"/>
    <n v="5"/>
    <n v="55.83"/>
    <x v="4"/>
  </r>
  <r>
    <s v="TRX00267"/>
    <x v="198"/>
    <x v="1"/>
    <x v="1"/>
    <n v="3"/>
    <n v="318.94"/>
    <x v="5"/>
  </r>
  <r>
    <s v="TRX00269"/>
    <x v="48"/>
    <x v="0"/>
    <x v="2"/>
    <n v="1"/>
    <n v="60.98"/>
    <x v="4"/>
  </r>
  <r>
    <s v="TRX00226"/>
    <x v="163"/>
    <x v="1"/>
    <x v="4"/>
    <n v="8"/>
    <n v="28.52"/>
    <x v="5"/>
  </r>
  <r>
    <s v="TRX00271"/>
    <x v="199"/>
    <x v="0"/>
    <x v="0"/>
    <n v="5"/>
    <n v="13.61"/>
    <x v="2"/>
  </r>
  <r>
    <s v="TRX00272"/>
    <x v="118"/>
    <x v="0"/>
    <x v="0"/>
    <n v="1"/>
    <n v="21.37"/>
    <x v="4"/>
  </r>
  <r>
    <s v="TRX00235"/>
    <x v="85"/>
    <x v="0"/>
    <x v="2"/>
    <n v="3"/>
    <n v="128.13999999999999"/>
    <x v="4"/>
  </r>
  <r>
    <s v="TRX00236"/>
    <x v="200"/>
    <x v="0"/>
    <x v="3"/>
    <n v="4"/>
    <n v="0"/>
    <x v="4"/>
  </r>
  <r>
    <s v="TRX00273"/>
    <x v="201"/>
    <x v="1"/>
    <x v="0"/>
    <n v="8"/>
    <n v="18.09"/>
    <x v="3"/>
  </r>
  <r>
    <s v="TRX00274"/>
    <x v="202"/>
    <x v="0"/>
    <x v="0"/>
    <n v="2"/>
    <n v="11.46"/>
    <x v="5"/>
  </r>
  <r>
    <s v="TRX00275"/>
    <x v="134"/>
    <x v="1"/>
    <x v="1"/>
    <n v="3"/>
    <n v="2013"/>
    <x v="6"/>
  </r>
  <r>
    <s v="TRX00239"/>
    <x v="203"/>
    <x v="1"/>
    <x v="2"/>
    <n v="5"/>
    <n v="93.44"/>
    <x v="5"/>
  </r>
  <r>
    <s v="TRX00276"/>
    <x v="179"/>
    <x v="1"/>
    <x v="1"/>
    <n v="1"/>
    <n v="247.82"/>
    <x v="6"/>
  </r>
  <r>
    <s v="TRX00241"/>
    <x v="204"/>
    <x v="1"/>
    <x v="0"/>
    <n v="1"/>
    <n v="18.18"/>
    <x v="5"/>
  </r>
  <r>
    <s v="TRX00242"/>
    <x v="187"/>
    <x v="1"/>
    <x v="1"/>
    <n v="8"/>
    <n v="0"/>
    <x v="2"/>
  </r>
  <r>
    <s v="TRX00277"/>
    <x v="97"/>
    <x v="1"/>
    <x v="1"/>
    <n v="0"/>
    <n v="182.27"/>
    <x v="5"/>
  </r>
  <r>
    <s v="TRX00278"/>
    <x v="205"/>
    <x v="0"/>
    <x v="0"/>
    <n v="6"/>
    <n v="28.43"/>
    <x v="4"/>
  </r>
  <r>
    <s v="TRX00248"/>
    <x v="206"/>
    <x v="1"/>
    <x v="4"/>
    <n v="0"/>
    <n v="49.58"/>
    <x v="1"/>
  </r>
  <r>
    <s v="TRX00249"/>
    <x v="207"/>
    <x v="1"/>
    <x v="0"/>
    <n v="4"/>
    <n v="22.56"/>
    <x v="3"/>
  </r>
  <r>
    <s v="TRX00279"/>
    <x v="208"/>
    <x v="1"/>
    <x v="3"/>
    <n v="6"/>
    <n v="7.41"/>
    <x v="5"/>
  </r>
  <r>
    <s v="TRX00283"/>
    <x v="209"/>
    <x v="0"/>
    <x v="0"/>
    <n v="6"/>
    <n v="26.64"/>
    <x v="3"/>
  </r>
  <r>
    <s v="TRX00256"/>
    <x v="210"/>
    <x v="1"/>
    <x v="2"/>
    <n v="3"/>
    <n v="53.41"/>
    <x v="1"/>
  </r>
  <r>
    <s v="TRX00259"/>
    <x v="211"/>
    <x v="1"/>
    <x v="4"/>
    <n v="2"/>
    <n v="66.209999999999994"/>
    <x v="3"/>
  </r>
  <r>
    <s v="TRX00263"/>
    <x v="60"/>
    <x v="1"/>
    <x v="0"/>
    <n v="2"/>
    <n v="25.57"/>
    <x v="4"/>
  </r>
  <r>
    <s v="TRX00284"/>
    <x v="212"/>
    <x v="1"/>
    <x v="2"/>
    <n v="0"/>
    <n v="113.25"/>
    <x v="4"/>
  </r>
  <r>
    <s v="TRX00285"/>
    <x v="213"/>
    <x v="1"/>
    <x v="0"/>
    <n v="7"/>
    <n v="16.27"/>
    <x v="4"/>
  </r>
  <r>
    <s v="TRX00286"/>
    <x v="214"/>
    <x v="0"/>
    <x v="0"/>
    <n v="6"/>
    <n v="13.93"/>
    <x v="0"/>
  </r>
  <r>
    <s v="TRX00287"/>
    <x v="215"/>
    <x v="0"/>
    <x v="0"/>
    <n v="2"/>
    <n v="27.38"/>
    <x v="5"/>
  </r>
  <r>
    <s v="TRX00264"/>
    <x v="216"/>
    <x v="0"/>
    <x v="4"/>
    <n v="0"/>
    <n v="45.3"/>
    <x v="5"/>
  </r>
  <r>
    <s v="TRX00265"/>
    <x v="217"/>
    <x v="0"/>
    <x v="4"/>
    <n v="4"/>
    <n v="43.1"/>
    <x v="4"/>
  </r>
  <r>
    <s v="TRX00288"/>
    <x v="218"/>
    <x v="1"/>
    <x v="2"/>
    <n v="1"/>
    <n v="50.46"/>
    <x v="4"/>
  </r>
  <r>
    <s v="TRX00268"/>
    <x v="219"/>
    <x v="1"/>
    <x v="2"/>
    <n v="1"/>
    <n v="68.760000000000005"/>
    <x v="4"/>
  </r>
  <r>
    <s v="TRX00270"/>
    <x v="220"/>
    <x v="0"/>
    <x v="1"/>
    <n v="6"/>
    <n v="235.74"/>
    <x v="4"/>
  </r>
  <r>
    <s v="TRX00280"/>
    <x v="138"/>
    <x v="0"/>
    <x v="1"/>
    <n v="8"/>
    <n v="0"/>
    <x v="5"/>
  </r>
  <r>
    <s v="TRX00281"/>
    <x v="221"/>
    <x v="1"/>
    <x v="1"/>
    <n v="7"/>
    <n v="345.16"/>
    <x v="5"/>
  </r>
  <r>
    <s v="TRX00223"/>
    <x v="29"/>
    <x v="1"/>
    <x v="1"/>
    <n v="6"/>
    <n v="263.68"/>
    <x v="4"/>
  </r>
  <r>
    <s v="TRX00292"/>
    <x v="222"/>
    <x v="0"/>
    <x v="1"/>
    <n v="7"/>
    <n v="180.56"/>
    <x v="5"/>
  </r>
  <r>
    <s v="TRX00289"/>
    <x v="91"/>
    <x v="1"/>
    <x v="0"/>
    <n v="7"/>
    <n v="14.78"/>
    <x v="4"/>
  </r>
  <r>
    <s v="TRX00290"/>
    <x v="168"/>
    <x v="1"/>
    <x v="4"/>
    <n v="1"/>
    <n v="25.9"/>
    <x v="1"/>
  </r>
  <r>
    <s v="TRX00291"/>
    <x v="223"/>
    <x v="0"/>
    <x v="5"/>
    <n v="2"/>
    <n v="21.5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F0006-EEC8-4685-9AD1-198B2ED203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2:E16" firstHeaderRow="1" firstDataRow="1" firstDataCol="1"/>
  <pivotFields count="10">
    <pivotField showAll="0"/>
    <pivotField numFmtId="164" showAll="0">
      <items count="225">
        <item x="107"/>
        <item x="3"/>
        <item x="169"/>
        <item x="40"/>
        <item x="213"/>
        <item x="201"/>
        <item x="205"/>
        <item x="98"/>
        <item x="28"/>
        <item x="170"/>
        <item x="12"/>
        <item x="182"/>
        <item x="90"/>
        <item x="202"/>
        <item x="183"/>
        <item x="77"/>
        <item x="15"/>
        <item x="178"/>
        <item x="46"/>
        <item x="43"/>
        <item x="152"/>
        <item x="196"/>
        <item x="24"/>
        <item x="129"/>
        <item x="9"/>
        <item x="104"/>
        <item x="18"/>
        <item x="48"/>
        <item x="121"/>
        <item x="81"/>
        <item x="23"/>
        <item x="49"/>
        <item x="92"/>
        <item x="105"/>
        <item x="174"/>
        <item x="124"/>
        <item x="16"/>
        <item x="58"/>
        <item x="117"/>
        <item x="167"/>
        <item x="86"/>
        <item x="223"/>
        <item x="177"/>
        <item x="160"/>
        <item x="157"/>
        <item x="88"/>
        <item x="96"/>
        <item x="74"/>
        <item x="33"/>
        <item x="75"/>
        <item x="11"/>
        <item x="72"/>
        <item x="6"/>
        <item x="94"/>
        <item x="126"/>
        <item x="118"/>
        <item x="208"/>
        <item x="8"/>
        <item x="113"/>
        <item x="212"/>
        <item x="116"/>
        <item x="173"/>
        <item x="14"/>
        <item x="134"/>
        <item x="127"/>
        <item x="193"/>
        <item x="4"/>
        <item x="184"/>
        <item x="87"/>
        <item x="95"/>
        <item x="145"/>
        <item x="53"/>
        <item x="189"/>
        <item x="120"/>
        <item x="156"/>
        <item x="68"/>
        <item x="5"/>
        <item x="41"/>
        <item x="143"/>
        <item x="198"/>
        <item x="191"/>
        <item x="123"/>
        <item x="139"/>
        <item x="144"/>
        <item x="185"/>
        <item x="71"/>
        <item x="130"/>
        <item x="154"/>
        <item x="32"/>
        <item x="153"/>
        <item x="37"/>
        <item x="97"/>
        <item x="69"/>
        <item x="66"/>
        <item x="19"/>
        <item x="166"/>
        <item x="61"/>
        <item x="171"/>
        <item x="101"/>
        <item x="10"/>
        <item x="214"/>
        <item x="188"/>
        <item x="136"/>
        <item x="100"/>
        <item x="199"/>
        <item x="190"/>
        <item x="13"/>
        <item x="57"/>
        <item x="54"/>
        <item x="131"/>
        <item x="67"/>
        <item x="99"/>
        <item x="27"/>
        <item x="215"/>
        <item x="55"/>
        <item x="195"/>
        <item x="106"/>
        <item x="175"/>
        <item x="179"/>
        <item x="161"/>
        <item x="155"/>
        <item x="159"/>
        <item x="194"/>
        <item x="38"/>
        <item x="78"/>
        <item x="25"/>
        <item x="65"/>
        <item x="148"/>
        <item x="91"/>
        <item x="168"/>
        <item x="42"/>
        <item x="146"/>
        <item x="83"/>
        <item x="137"/>
        <item x="31"/>
        <item x="62"/>
        <item x="218"/>
        <item x="51"/>
        <item x="7"/>
        <item x="35"/>
        <item x="209"/>
        <item x="76"/>
        <item x="164"/>
        <item x="47"/>
        <item x="36"/>
        <item x="50"/>
        <item x="200"/>
        <item x="122"/>
        <item x="158"/>
        <item x="172"/>
        <item x="39"/>
        <item x="147"/>
        <item x="60"/>
        <item x="1"/>
        <item x="132"/>
        <item x="30"/>
        <item x="125"/>
        <item x="89"/>
        <item x="165"/>
        <item x="150"/>
        <item x="217"/>
        <item x="85"/>
        <item x="149"/>
        <item x="112"/>
        <item x="115"/>
        <item x="109"/>
        <item x="45"/>
        <item x="103"/>
        <item x="0"/>
        <item x="64"/>
        <item x="140"/>
        <item x="73"/>
        <item x="21"/>
        <item x="20"/>
        <item x="2"/>
        <item x="22"/>
        <item x="216"/>
        <item x="59"/>
        <item x="119"/>
        <item x="133"/>
        <item x="141"/>
        <item x="187"/>
        <item x="180"/>
        <item x="181"/>
        <item x="108"/>
        <item x="114"/>
        <item x="203"/>
        <item x="207"/>
        <item x="44"/>
        <item x="70"/>
        <item x="80"/>
        <item x="197"/>
        <item x="163"/>
        <item x="26"/>
        <item x="220"/>
        <item x="82"/>
        <item x="79"/>
        <item x="142"/>
        <item x="219"/>
        <item x="135"/>
        <item x="93"/>
        <item x="56"/>
        <item x="211"/>
        <item x="128"/>
        <item x="63"/>
        <item x="206"/>
        <item x="17"/>
        <item x="221"/>
        <item x="210"/>
        <item x="204"/>
        <item x="52"/>
        <item x="138"/>
        <item x="84"/>
        <item x="110"/>
        <item x="34"/>
        <item x="192"/>
        <item x="162"/>
        <item x="176"/>
        <item x="102"/>
        <item x="222"/>
        <item x="151"/>
        <item x="111"/>
        <item x="186"/>
        <item x="29"/>
        <item t="default"/>
      </items>
    </pivotField>
    <pivotField showAll="0"/>
    <pivotField showAll="0">
      <items count="7">
        <item x="4"/>
        <item x="1"/>
        <item x="0"/>
        <item x="2"/>
        <item x="5"/>
        <item x="3"/>
        <item t="default"/>
      </items>
    </pivotField>
    <pivotField showAll="0"/>
    <pivotField dataField="1" numFmtId="166" showAll="0"/>
    <pivotField showAll="0">
      <items count="8">
        <item x="0"/>
        <item x="2"/>
        <item x="1"/>
        <item x="5"/>
        <item x="3"/>
        <item x="4"/>
        <item x="6"/>
        <item t="default"/>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78">
        <item h="1" x="0"/>
        <item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x="75"/>
        <item h="1" x="76"/>
        <item h="1" x="77"/>
      </items>
    </pivotField>
  </pivotFields>
  <rowFields count="1">
    <field x="9"/>
  </rowFields>
  <rowItems count="4">
    <i>
      <x v="1"/>
    </i>
    <i>
      <x v="2"/>
    </i>
    <i>
      <x v="75"/>
    </i>
    <i t="grand">
      <x/>
    </i>
  </rowItems>
  <colItems count="1">
    <i/>
  </colItems>
  <dataFields count="1">
    <dataField name="Sum of Unit_Price" fld="5" baseField="0" baseItem="0" numFmtId="166"/>
  </dataFields>
  <chartFormats count="12">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9" count="1" selected="0">
            <x v="1"/>
          </reference>
        </references>
      </pivotArea>
    </chartFormat>
    <chartFormat chart="1" format="6">
      <pivotArea type="data" outline="0" fieldPosition="0">
        <references count="2">
          <reference field="4294967294" count="1" selected="0">
            <x v="0"/>
          </reference>
          <reference field="9" count="1" selected="0">
            <x v="2"/>
          </reference>
        </references>
      </pivotArea>
    </chartFormat>
    <chartFormat chart="1" format="7">
      <pivotArea type="data" outline="0" fieldPosition="0">
        <references count="2">
          <reference field="4294967294" count="1" selected="0">
            <x v="0"/>
          </reference>
          <reference field="9" count="1" selected="0">
            <x v="7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7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7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6FB7F9-768B-4440-AB6A-47EB4BF74F0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E10" firstHeaderRow="1" firstDataRow="1" firstDataCol="1"/>
  <pivotFields count="10">
    <pivotField showAll="0"/>
    <pivotField numFmtId="164" showAll="0">
      <items count="225">
        <item x="107"/>
        <item x="3"/>
        <item x="169"/>
        <item x="40"/>
        <item x="213"/>
        <item x="201"/>
        <item x="205"/>
        <item x="98"/>
        <item x="28"/>
        <item x="170"/>
        <item x="12"/>
        <item x="182"/>
        <item x="90"/>
        <item x="202"/>
        <item x="183"/>
        <item x="77"/>
        <item x="15"/>
        <item x="178"/>
        <item x="46"/>
        <item x="43"/>
        <item x="152"/>
        <item x="196"/>
        <item x="24"/>
        <item x="129"/>
        <item x="9"/>
        <item x="104"/>
        <item x="18"/>
        <item x="48"/>
        <item x="121"/>
        <item x="81"/>
        <item x="23"/>
        <item x="49"/>
        <item x="92"/>
        <item x="105"/>
        <item x="174"/>
        <item x="124"/>
        <item x="16"/>
        <item x="58"/>
        <item x="117"/>
        <item x="167"/>
        <item x="86"/>
        <item x="223"/>
        <item x="177"/>
        <item x="160"/>
        <item x="157"/>
        <item x="88"/>
        <item x="96"/>
        <item x="74"/>
        <item x="33"/>
        <item x="75"/>
        <item x="11"/>
        <item x="72"/>
        <item x="6"/>
        <item x="94"/>
        <item x="126"/>
        <item x="118"/>
        <item x="208"/>
        <item x="8"/>
        <item x="113"/>
        <item x="212"/>
        <item x="116"/>
        <item x="173"/>
        <item x="14"/>
        <item x="134"/>
        <item x="127"/>
        <item x="193"/>
        <item x="4"/>
        <item x="184"/>
        <item x="87"/>
        <item x="95"/>
        <item x="145"/>
        <item x="53"/>
        <item x="189"/>
        <item x="120"/>
        <item x="156"/>
        <item x="68"/>
        <item x="5"/>
        <item x="41"/>
        <item x="143"/>
        <item x="198"/>
        <item x="191"/>
        <item x="123"/>
        <item x="139"/>
        <item x="144"/>
        <item x="185"/>
        <item x="71"/>
        <item x="130"/>
        <item x="154"/>
        <item x="32"/>
        <item x="153"/>
        <item x="37"/>
        <item x="97"/>
        <item x="69"/>
        <item x="66"/>
        <item x="19"/>
        <item x="166"/>
        <item x="61"/>
        <item x="171"/>
        <item x="101"/>
        <item x="10"/>
        <item x="214"/>
        <item x="188"/>
        <item x="136"/>
        <item x="100"/>
        <item x="199"/>
        <item x="190"/>
        <item x="13"/>
        <item x="57"/>
        <item x="54"/>
        <item x="131"/>
        <item x="67"/>
        <item x="99"/>
        <item x="27"/>
        <item x="215"/>
        <item x="55"/>
        <item x="195"/>
        <item x="106"/>
        <item x="175"/>
        <item x="179"/>
        <item x="161"/>
        <item x="155"/>
        <item x="159"/>
        <item x="194"/>
        <item x="38"/>
        <item x="78"/>
        <item x="25"/>
        <item x="65"/>
        <item x="148"/>
        <item x="91"/>
        <item x="168"/>
        <item x="42"/>
        <item x="146"/>
        <item x="83"/>
        <item x="137"/>
        <item x="31"/>
        <item x="62"/>
        <item x="218"/>
        <item x="51"/>
        <item x="7"/>
        <item x="35"/>
        <item x="209"/>
        <item x="76"/>
        <item x="164"/>
        <item x="47"/>
        <item x="36"/>
        <item x="50"/>
        <item x="200"/>
        <item x="122"/>
        <item x="158"/>
        <item x="172"/>
        <item x="39"/>
        <item x="147"/>
        <item x="60"/>
        <item x="1"/>
        <item x="132"/>
        <item x="30"/>
        <item x="125"/>
        <item x="89"/>
        <item x="165"/>
        <item x="150"/>
        <item x="217"/>
        <item x="85"/>
        <item x="149"/>
        <item x="112"/>
        <item x="115"/>
        <item x="109"/>
        <item x="45"/>
        <item x="103"/>
        <item x="0"/>
        <item x="64"/>
        <item x="140"/>
        <item x="73"/>
        <item x="21"/>
        <item x="20"/>
        <item x="2"/>
        <item x="22"/>
        <item x="216"/>
        <item x="59"/>
        <item x="119"/>
        <item x="133"/>
        <item x="141"/>
        <item x="187"/>
        <item x="180"/>
        <item x="181"/>
        <item x="108"/>
        <item x="114"/>
        <item x="203"/>
        <item x="207"/>
        <item x="44"/>
        <item x="70"/>
        <item x="80"/>
        <item x="197"/>
        <item x="163"/>
        <item x="26"/>
        <item x="220"/>
        <item x="82"/>
        <item x="79"/>
        <item x="142"/>
        <item x="219"/>
        <item x="135"/>
        <item x="93"/>
        <item x="56"/>
        <item x="211"/>
        <item x="128"/>
        <item x="63"/>
        <item x="206"/>
        <item x="17"/>
        <item x="221"/>
        <item x="210"/>
        <item x="204"/>
        <item x="52"/>
        <item x="138"/>
        <item x="84"/>
        <item x="110"/>
        <item x="34"/>
        <item x="192"/>
        <item x="162"/>
        <item x="176"/>
        <item x="102"/>
        <item x="222"/>
        <item x="151"/>
        <item x="111"/>
        <item x="186"/>
        <item x="29"/>
        <item t="default"/>
      </items>
    </pivotField>
    <pivotField showAll="0"/>
    <pivotField showAll="0">
      <items count="7">
        <item x="4"/>
        <item x="1"/>
        <item x="0"/>
        <item x="2"/>
        <item x="5"/>
        <item x="3"/>
        <item t="default"/>
      </items>
    </pivotField>
    <pivotField showAll="0"/>
    <pivotField dataField="1" numFmtId="166" showAll="0"/>
    <pivotField axis="axisRow" showAll="0">
      <items count="8">
        <item x="0"/>
        <item x="2"/>
        <item x="1"/>
        <item x="5"/>
        <item x="3"/>
        <item x="4"/>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8">
        <item h="1" x="0"/>
        <item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x="75"/>
        <item h="1" x="76"/>
        <item h="1" x="77"/>
      </items>
    </pivotField>
  </pivotFields>
  <rowFields count="1">
    <field x="6"/>
  </rowFields>
  <rowItems count="8">
    <i>
      <x/>
    </i>
    <i>
      <x v="1"/>
    </i>
    <i>
      <x v="2"/>
    </i>
    <i>
      <x v="3"/>
    </i>
    <i>
      <x v="4"/>
    </i>
    <i>
      <x v="5"/>
    </i>
    <i>
      <x v="6"/>
    </i>
    <i t="grand">
      <x/>
    </i>
  </rowItems>
  <colItems count="1">
    <i/>
  </colItems>
  <dataFields count="1">
    <dataField name="Sum of Unit_Price" fld="5" baseField="0" baseItem="0" numFmtId="166"/>
  </dataField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5"/>
          </reference>
        </references>
      </pivotArea>
    </chartFormat>
    <chartFormat chart="3" format="4">
      <pivotArea type="data" outline="0" fieldPosition="0">
        <references count="2">
          <reference field="4294967294" count="1" selected="0">
            <x v="0"/>
          </reference>
          <reference field="6" count="1" selected="0">
            <x v="6"/>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 chart="3" format="7">
      <pivotArea type="data" outline="0" fieldPosition="0">
        <references count="2">
          <reference field="4294967294" count="1" selected="0">
            <x v="0"/>
          </reference>
          <reference field="6" count="1" selected="0">
            <x v="2"/>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CE6639-D17A-4C55-8F35-4153DDA296C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1:B14" firstHeaderRow="1" firstDataRow="1" firstDataCol="1"/>
  <pivotFields count="10">
    <pivotField showAll="0"/>
    <pivotField numFmtId="164" showAll="0">
      <items count="225">
        <item x="107"/>
        <item x="3"/>
        <item x="169"/>
        <item x="40"/>
        <item x="213"/>
        <item x="201"/>
        <item x="205"/>
        <item x="98"/>
        <item x="28"/>
        <item x="170"/>
        <item x="12"/>
        <item x="182"/>
        <item x="90"/>
        <item x="202"/>
        <item x="183"/>
        <item x="77"/>
        <item x="15"/>
        <item x="178"/>
        <item x="46"/>
        <item x="43"/>
        <item x="152"/>
        <item x="196"/>
        <item x="24"/>
        <item x="129"/>
        <item x="9"/>
        <item x="104"/>
        <item x="18"/>
        <item x="48"/>
        <item x="121"/>
        <item x="81"/>
        <item x="23"/>
        <item x="49"/>
        <item x="92"/>
        <item x="105"/>
        <item x="174"/>
        <item x="124"/>
        <item x="16"/>
        <item x="58"/>
        <item x="117"/>
        <item x="167"/>
        <item x="86"/>
        <item x="223"/>
        <item x="177"/>
        <item x="160"/>
        <item x="157"/>
        <item x="88"/>
        <item x="96"/>
        <item x="74"/>
        <item x="33"/>
        <item x="75"/>
        <item x="11"/>
        <item x="72"/>
        <item x="6"/>
        <item x="94"/>
        <item x="126"/>
        <item x="118"/>
        <item x="208"/>
        <item x="8"/>
        <item x="113"/>
        <item x="212"/>
        <item x="116"/>
        <item x="173"/>
        <item x="14"/>
        <item x="134"/>
        <item x="127"/>
        <item x="193"/>
        <item x="4"/>
        <item x="184"/>
        <item x="87"/>
        <item x="95"/>
        <item x="145"/>
        <item x="53"/>
        <item x="189"/>
        <item x="120"/>
        <item x="156"/>
        <item x="68"/>
        <item x="5"/>
        <item x="41"/>
        <item x="143"/>
        <item x="198"/>
        <item x="191"/>
        <item x="123"/>
        <item x="139"/>
        <item x="144"/>
        <item x="185"/>
        <item x="71"/>
        <item x="130"/>
        <item x="154"/>
        <item x="32"/>
        <item x="153"/>
        <item x="37"/>
        <item x="97"/>
        <item x="69"/>
        <item x="66"/>
        <item x="19"/>
        <item x="166"/>
        <item x="61"/>
        <item x="171"/>
        <item x="101"/>
        <item x="10"/>
        <item x="214"/>
        <item x="188"/>
        <item x="136"/>
        <item x="100"/>
        <item x="199"/>
        <item x="190"/>
        <item x="13"/>
        <item x="57"/>
        <item x="54"/>
        <item x="131"/>
        <item x="67"/>
        <item x="99"/>
        <item x="27"/>
        <item x="215"/>
        <item x="55"/>
        <item x="195"/>
        <item x="106"/>
        <item x="175"/>
        <item x="179"/>
        <item x="161"/>
        <item x="155"/>
        <item x="159"/>
        <item x="194"/>
        <item x="38"/>
        <item x="78"/>
        <item x="25"/>
        <item x="65"/>
        <item x="148"/>
        <item x="91"/>
        <item x="168"/>
        <item x="42"/>
        <item x="146"/>
        <item x="83"/>
        <item x="137"/>
        <item x="31"/>
        <item x="62"/>
        <item x="218"/>
        <item x="51"/>
        <item x="7"/>
        <item x="35"/>
        <item x="209"/>
        <item x="76"/>
        <item x="164"/>
        <item x="47"/>
        <item x="36"/>
        <item x="50"/>
        <item x="200"/>
        <item x="122"/>
        <item x="158"/>
        <item x="172"/>
        <item x="39"/>
        <item x="147"/>
        <item x="60"/>
        <item x="1"/>
        <item x="132"/>
        <item x="30"/>
        <item x="125"/>
        <item x="89"/>
        <item x="165"/>
        <item x="150"/>
        <item x="217"/>
        <item x="85"/>
        <item x="149"/>
        <item x="112"/>
        <item x="115"/>
        <item x="109"/>
        <item x="45"/>
        <item x="103"/>
        <item x="0"/>
        <item x="64"/>
        <item x="140"/>
        <item x="73"/>
        <item x="21"/>
        <item x="20"/>
        <item x="2"/>
        <item x="22"/>
        <item x="216"/>
        <item x="59"/>
        <item x="119"/>
        <item x="133"/>
        <item x="141"/>
        <item x="187"/>
        <item x="180"/>
        <item x="181"/>
        <item x="108"/>
        <item x="114"/>
        <item x="203"/>
        <item x="207"/>
        <item x="44"/>
        <item x="70"/>
        <item x="80"/>
        <item x="197"/>
        <item x="163"/>
        <item x="26"/>
        <item x="220"/>
        <item x="82"/>
        <item x="79"/>
        <item x="142"/>
        <item x="219"/>
        <item x="135"/>
        <item x="93"/>
        <item x="56"/>
        <item x="211"/>
        <item x="128"/>
        <item x="63"/>
        <item x="206"/>
        <item x="17"/>
        <item x="221"/>
        <item x="210"/>
        <item x="204"/>
        <item x="52"/>
        <item x="138"/>
        <item x="84"/>
        <item x="110"/>
        <item x="34"/>
        <item x="192"/>
        <item x="162"/>
        <item x="176"/>
        <item x="102"/>
        <item x="222"/>
        <item x="151"/>
        <item x="111"/>
        <item x="186"/>
        <item x="29"/>
        <item t="default"/>
      </items>
    </pivotField>
    <pivotField axis="axisRow" showAll="0">
      <items count="3">
        <item x="0"/>
        <item x="1"/>
        <item t="default"/>
      </items>
    </pivotField>
    <pivotField showAll="0">
      <items count="7">
        <item x="4"/>
        <item x="1"/>
        <item x="0"/>
        <item x="2"/>
        <item x="5"/>
        <item x="3"/>
        <item t="default"/>
      </items>
    </pivotField>
    <pivotField showAll="0"/>
    <pivotField dataField="1" numFmtId="166" showAll="0"/>
    <pivotField showAll="0">
      <items count="8">
        <item x="0"/>
        <item x="2"/>
        <item x="1"/>
        <item x="5"/>
        <item x="3"/>
        <item x="4"/>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8">
        <item h="1" x="0"/>
        <item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x="75"/>
        <item h="1" x="76"/>
        <item h="1" x="77"/>
      </items>
    </pivotField>
  </pivotFields>
  <rowFields count="1">
    <field x="2"/>
  </rowFields>
  <rowItems count="3">
    <i>
      <x/>
    </i>
    <i>
      <x v="1"/>
    </i>
    <i t="grand">
      <x/>
    </i>
  </rowItems>
  <colItems count="1">
    <i/>
  </colItems>
  <dataFields count="1">
    <dataField name="Sum of Unit_Price" fld="5" baseField="0" baseItem="0" numFmtId="166"/>
  </dataFields>
  <chartFormats count="9">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A31188-D63B-4540-B61D-EE290A253A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B9" firstHeaderRow="1" firstDataRow="1" firstDataCol="1"/>
  <pivotFields count="10">
    <pivotField showAll="0"/>
    <pivotField numFmtId="164" showAll="0">
      <items count="225">
        <item x="107"/>
        <item x="3"/>
        <item x="169"/>
        <item x="40"/>
        <item x="213"/>
        <item x="201"/>
        <item x="205"/>
        <item x="98"/>
        <item x="28"/>
        <item x="170"/>
        <item x="12"/>
        <item x="182"/>
        <item x="90"/>
        <item x="202"/>
        <item x="183"/>
        <item x="77"/>
        <item x="15"/>
        <item x="178"/>
        <item x="46"/>
        <item x="43"/>
        <item x="152"/>
        <item x="196"/>
        <item x="24"/>
        <item x="129"/>
        <item x="9"/>
        <item x="104"/>
        <item x="18"/>
        <item x="48"/>
        <item x="121"/>
        <item x="81"/>
        <item x="23"/>
        <item x="49"/>
        <item x="92"/>
        <item x="105"/>
        <item x="174"/>
        <item x="124"/>
        <item x="16"/>
        <item x="58"/>
        <item x="117"/>
        <item x="167"/>
        <item x="86"/>
        <item x="223"/>
        <item x="177"/>
        <item x="160"/>
        <item x="157"/>
        <item x="88"/>
        <item x="96"/>
        <item x="74"/>
        <item x="33"/>
        <item x="75"/>
        <item x="11"/>
        <item x="72"/>
        <item x="6"/>
        <item x="94"/>
        <item x="126"/>
        <item x="118"/>
        <item x="208"/>
        <item x="8"/>
        <item x="113"/>
        <item x="212"/>
        <item x="116"/>
        <item x="173"/>
        <item x="14"/>
        <item x="134"/>
        <item x="127"/>
        <item x="193"/>
        <item x="4"/>
        <item x="184"/>
        <item x="87"/>
        <item x="95"/>
        <item x="145"/>
        <item x="53"/>
        <item x="189"/>
        <item x="120"/>
        <item x="156"/>
        <item x="68"/>
        <item x="5"/>
        <item x="41"/>
        <item x="143"/>
        <item x="198"/>
        <item x="191"/>
        <item x="123"/>
        <item x="139"/>
        <item x="144"/>
        <item x="185"/>
        <item x="71"/>
        <item x="130"/>
        <item x="154"/>
        <item x="32"/>
        <item x="153"/>
        <item x="37"/>
        <item x="97"/>
        <item x="69"/>
        <item x="66"/>
        <item x="19"/>
        <item x="166"/>
        <item x="61"/>
        <item x="171"/>
        <item x="101"/>
        <item x="10"/>
        <item x="214"/>
        <item x="188"/>
        <item x="136"/>
        <item x="100"/>
        <item x="199"/>
        <item x="190"/>
        <item x="13"/>
        <item x="57"/>
        <item x="54"/>
        <item x="131"/>
        <item x="67"/>
        <item x="99"/>
        <item x="27"/>
        <item x="215"/>
        <item x="55"/>
        <item x="195"/>
        <item x="106"/>
        <item x="175"/>
        <item x="179"/>
        <item x="161"/>
        <item x="155"/>
        <item x="159"/>
        <item x="194"/>
        <item x="38"/>
        <item x="78"/>
        <item x="25"/>
        <item x="65"/>
        <item x="148"/>
        <item x="91"/>
        <item x="168"/>
        <item x="42"/>
        <item x="146"/>
        <item x="83"/>
        <item x="137"/>
        <item x="31"/>
        <item x="62"/>
        <item x="218"/>
        <item x="51"/>
        <item x="7"/>
        <item x="35"/>
        <item x="209"/>
        <item x="76"/>
        <item x="164"/>
        <item x="47"/>
        <item x="36"/>
        <item x="50"/>
        <item x="200"/>
        <item x="122"/>
        <item x="158"/>
        <item x="172"/>
        <item x="39"/>
        <item x="147"/>
        <item x="60"/>
        <item x="1"/>
        <item x="132"/>
        <item x="30"/>
        <item x="125"/>
        <item x="89"/>
        <item x="165"/>
        <item x="150"/>
        <item x="217"/>
        <item x="85"/>
        <item x="149"/>
        <item x="112"/>
        <item x="115"/>
        <item x="109"/>
        <item x="45"/>
        <item x="103"/>
        <item x="0"/>
        <item x="64"/>
        <item x="140"/>
        <item x="73"/>
        <item x="21"/>
        <item x="20"/>
        <item x="2"/>
        <item x="22"/>
        <item x="216"/>
        <item x="59"/>
        <item x="119"/>
        <item x="133"/>
        <item x="141"/>
        <item x="187"/>
        <item x="180"/>
        <item x="181"/>
        <item x="108"/>
        <item x="114"/>
        <item x="203"/>
        <item x="207"/>
        <item x="44"/>
        <item x="70"/>
        <item x="80"/>
        <item x="197"/>
        <item x="163"/>
        <item x="26"/>
        <item x="220"/>
        <item x="82"/>
        <item x="79"/>
        <item x="142"/>
        <item x="219"/>
        <item x="135"/>
        <item x="93"/>
        <item x="56"/>
        <item x="211"/>
        <item x="128"/>
        <item x="63"/>
        <item x="206"/>
        <item x="17"/>
        <item x="221"/>
        <item x="210"/>
        <item x="204"/>
        <item x="52"/>
        <item x="138"/>
        <item x="84"/>
        <item x="110"/>
        <item x="34"/>
        <item x="192"/>
        <item x="162"/>
        <item x="176"/>
        <item x="102"/>
        <item x="222"/>
        <item x="151"/>
        <item x="111"/>
        <item x="186"/>
        <item x="29"/>
        <item t="default"/>
      </items>
    </pivotField>
    <pivotField showAll="0"/>
    <pivotField axis="axisRow" showAll="0">
      <items count="7">
        <item x="4"/>
        <item x="1"/>
        <item x="0"/>
        <item x="2"/>
        <item x="5"/>
        <item x="3"/>
        <item t="default"/>
      </items>
    </pivotField>
    <pivotField showAll="0"/>
    <pivotField dataField="1" numFmtId="166" showAll="0"/>
    <pivotField showAll="0">
      <items count="8">
        <item x="0"/>
        <item x="2"/>
        <item x="1"/>
        <item x="5"/>
        <item x="3"/>
        <item x="4"/>
        <item x="6"/>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8">
        <item h="1" x="0"/>
        <item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x="75"/>
        <item h="1" x="76"/>
        <item h="1" x="77"/>
      </items>
    </pivotField>
  </pivotFields>
  <rowFields count="1">
    <field x="3"/>
  </rowFields>
  <rowItems count="7">
    <i>
      <x/>
    </i>
    <i>
      <x v="1"/>
    </i>
    <i>
      <x v="2"/>
    </i>
    <i>
      <x v="3"/>
    </i>
    <i>
      <x v="4"/>
    </i>
    <i>
      <x v="5"/>
    </i>
    <i t="grand">
      <x/>
    </i>
  </rowItems>
  <colItems count="1">
    <i/>
  </colItems>
  <dataFields count="1">
    <dataField name="Sum of Unit_Price" fld="5" baseField="0" baseItem="0" numFmtId="166"/>
  </dataFields>
  <chartFormats count="22">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3" format="6">
      <pivotArea type="data" outline="0" fieldPosition="0">
        <references count="2">
          <reference field="4294967294" count="1" selected="0">
            <x v="0"/>
          </reference>
          <reference field="3" count="1" selected="0">
            <x v="4"/>
          </reference>
        </references>
      </pivotArea>
    </chartFormat>
    <chartFormat chart="3" format="7">
      <pivotArea type="data" outline="0" fieldPosition="0">
        <references count="2">
          <reference field="4294967294" count="1" selected="0">
            <x v="0"/>
          </reference>
          <reference field="3"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 count="1" selected="0">
            <x v="0"/>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D5C45A-BFBA-414C-89BC-466DE47825A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H15" firstHeaderRow="1" firstDataRow="1" firstDataCol="1"/>
  <pivotFields count="10">
    <pivotField showAll="0"/>
    <pivotField numFmtId="164" showAll="0">
      <items count="225">
        <item x="107"/>
        <item x="3"/>
        <item x="169"/>
        <item x="40"/>
        <item x="213"/>
        <item x="201"/>
        <item x="205"/>
        <item x="98"/>
        <item x="28"/>
        <item x="170"/>
        <item x="12"/>
        <item x="182"/>
        <item x="90"/>
        <item x="202"/>
        <item x="183"/>
        <item x="77"/>
        <item x="15"/>
        <item x="178"/>
        <item x="46"/>
        <item x="43"/>
        <item x="152"/>
        <item x="196"/>
        <item x="24"/>
        <item x="129"/>
        <item x="9"/>
        <item x="104"/>
        <item x="18"/>
        <item x="48"/>
        <item x="121"/>
        <item x="81"/>
        <item x="23"/>
        <item x="49"/>
        <item x="92"/>
        <item x="105"/>
        <item x="174"/>
        <item x="124"/>
        <item x="16"/>
        <item x="58"/>
        <item x="117"/>
        <item x="167"/>
        <item x="86"/>
        <item x="223"/>
        <item x="177"/>
        <item x="160"/>
        <item x="157"/>
        <item x="88"/>
        <item x="96"/>
        <item x="74"/>
        <item x="33"/>
        <item x="75"/>
        <item x="11"/>
        <item x="72"/>
        <item x="6"/>
        <item x="94"/>
        <item x="126"/>
        <item x="118"/>
        <item x="208"/>
        <item x="8"/>
        <item x="113"/>
        <item x="212"/>
        <item x="116"/>
        <item x="173"/>
        <item x="14"/>
        <item x="134"/>
        <item x="127"/>
        <item x="193"/>
        <item x="4"/>
        <item x="184"/>
        <item x="87"/>
        <item x="95"/>
        <item x="145"/>
        <item x="53"/>
        <item x="189"/>
        <item x="120"/>
        <item x="156"/>
        <item x="68"/>
        <item x="5"/>
        <item x="41"/>
        <item x="143"/>
        <item x="198"/>
        <item x="191"/>
        <item x="123"/>
        <item x="139"/>
        <item x="144"/>
        <item x="185"/>
        <item x="71"/>
        <item x="130"/>
        <item x="154"/>
        <item x="32"/>
        <item x="153"/>
        <item x="37"/>
        <item x="97"/>
        <item x="69"/>
        <item x="66"/>
        <item x="19"/>
        <item x="166"/>
        <item x="61"/>
        <item x="171"/>
        <item x="101"/>
        <item x="10"/>
        <item x="214"/>
        <item x="188"/>
        <item x="136"/>
        <item x="100"/>
        <item x="199"/>
        <item x="190"/>
        <item x="13"/>
        <item x="57"/>
        <item x="54"/>
        <item x="131"/>
        <item x="67"/>
        <item x="99"/>
        <item x="27"/>
        <item x="215"/>
        <item x="55"/>
        <item x="195"/>
        <item x="106"/>
        <item x="175"/>
        <item x="179"/>
        <item x="161"/>
        <item x="155"/>
        <item x="159"/>
        <item x="194"/>
        <item x="38"/>
        <item x="78"/>
        <item x="25"/>
        <item x="65"/>
        <item x="148"/>
        <item x="91"/>
        <item x="168"/>
        <item x="42"/>
        <item x="146"/>
        <item x="83"/>
        <item x="137"/>
        <item x="31"/>
        <item x="62"/>
        <item x="218"/>
        <item x="51"/>
        <item x="7"/>
        <item x="35"/>
        <item x="209"/>
        <item x="76"/>
        <item x="164"/>
        <item x="47"/>
        <item x="36"/>
        <item x="50"/>
        <item x="200"/>
        <item x="122"/>
        <item x="158"/>
        <item x="172"/>
        <item x="39"/>
        <item x="147"/>
        <item x="60"/>
        <item x="1"/>
        <item x="132"/>
        <item x="30"/>
        <item x="125"/>
        <item x="89"/>
        <item x="165"/>
        <item x="150"/>
        <item x="217"/>
        <item x="85"/>
        <item x="149"/>
        <item x="112"/>
        <item x="115"/>
        <item x="109"/>
        <item x="45"/>
        <item x="103"/>
        <item x="0"/>
        <item x="64"/>
        <item x="140"/>
        <item x="73"/>
        <item x="21"/>
        <item x="20"/>
        <item x="2"/>
        <item x="22"/>
        <item x="216"/>
        <item x="59"/>
        <item x="119"/>
        <item x="133"/>
        <item x="141"/>
        <item x="187"/>
        <item x="180"/>
        <item x="181"/>
        <item x="108"/>
        <item x="114"/>
        <item x="203"/>
        <item x="207"/>
        <item x="44"/>
        <item x="70"/>
        <item x="80"/>
        <item x="197"/>
        <item x="163"/>
        <item x="26"/>
        <item x="220"/>
        <item x="82"/>
        <item x="79"/>
        <item x="142"/>
        <item x="219"/>
        <item x="135"/>
        <item x="93"/>
        <item x="56"/>
        <item x="211"/>
        <item x="128"/>
        <item x="63"/>
        <item x="206"/>
        <item x="17"/>
        <item x="221"/>
        <item x="210"/>
        <item x="204"/>
        <item x="52"/>
        <item x="138"/>
        <item x="84"/>
        <item x="110"/>
        <item x="34"/>
        <item x="192"/>
        <item x="162"/>
        <item x="176"/>
        <item x="102"/>
        <item x="222"/>
        <item x="151"/>
        <item x="111"/>
        <item x="186"/>
        <item x="29"/>
        <item t="default"/>
      </items>
    </pivotField>
    <pivotField showAll="0"/>
    <pivotField showAll="0"/>
    <pivotField showAll="0"/>
    <pivotField dataField="1" numFmtId="166"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Unit_Price" fld="5" baseField="0" baseItem="0" numFmtId="166"/>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6"/>
          </reference>
        </references>
      </pivotArea>
    </chartFormat>
    <chartFormat chart="0" format="2">
      <pivotArea type="data" outline="0" fieldPosition="0">
        <references count="2">
          <reference field="4294967294" count="1" selected="0">
            <x v="0"/>
          </reference>
          <reference field="7" count="1" selected="0">
            <x v="12"/>
          </reference>
        </references>
      </pivotArea>
    </chartFormat>
    <chartFormat chart="0" format="3">
      <pivotArea type="data" outline="0" fieldPosition="0">
        <references count="2">
          <reference field="4294967294" count="1" selected="0">
            <x v="0"/>
          </reference>
          <reference field="7" count="1" selected="0">
            <x v="5"/>
          </reference>
        </references>
      </pivotArea>
    </chartFormat>
    <chartFormat chart="0" format="4">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10"/>
          </reference>
        </references>
      </pivotArea>
    </chartFormat>
    <chartFormat chart="0" format="7">
      <pivotArea type="data" outline="0" fieldPosition="0">
        <references count="2">
          <reference field="4294967294" count="1" selected="0">
            <x v="0"/>
          </reference>
          <reference field="7" count="1" selected="0">
            <x v="11"/>
          </reference>
        </references>
      </pivotArea>
    </chartFormat>
    <chartFormat chart="0" format="8">
      <pivotArea type="data" outline="0" fieldPosition="0">
        <references count="2">
          <reference field="4294967294" count="1" selected="0">
            <x v="0"/>
          </reference>
          <reference field="7" count="1" selected="0">
            <x v="8"/>
          </reference>
        </references>
      </pivotArea>
    </chartFormat>
    <chartFormat chart="0" format="9">
      <pivotArea type="data" outline="0" fieldPosition="0">
        <references count="2">
          <reference field="4294967294" count="1" selected="0">
            <x v="0"/>
          </reference>
          <reference field="7" count="1" selected="0">
            <x v="9"/>
          </reference>
        </references>
      </pivotArea>
    </chartFormat>
    <chartFormat chart="0" format="10">
      <pivotArea type="data" outline="0" fieldPosition="0">
        <references count="2">
          <reference field="4294967294" count="1" selected="0">
            <x v="0"/>
          </reference>
          <reference field="7" count="1" selected="0">
            <x v="2"/>
          </reference>
        </references>
      </pivotArea>
    </chartFormat>
    <chartFormat chart="0" format="11">
      <pivotArea type="data" outline="0" fieldPosition="0">
        <references count="2">
          <reference field="4294967294" count="1" selected="0">
            <x v="0"/>
          </reference>
          <reference field="7" count="1" selected="0">
            <x v="1"/>
          </reference>
        </references>
      </pivotArea>
    </chartFormat>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7" count="1" selected="0">
            <x v="1"/>
          </reference>
        </references>
      </pivotArea>
    </chartFormat>
    <chartFormat chart="3" format="26">
      <pivotArea type="data" outline="0" fieldPosition="0">
        <references count="2">
          <reference field="4294967294" count="1" selected="0">
            <x v="0"/>
          </reference>
          <reference field="7" count="1" selected="0">
            <x v="2"/>
          </reference>
        </references>
      </pivotArea>
    </chartFormat>
    <chartFormat chart="3" format="27">
      <pivotArea type="data" outline="0" fieldPosition="0">
        <references count="2">
          <reference field="4294967294" count="1" selected="0">
            <x v="0"/>
          </reference>
          <reference field="7" count="1" selected="0">
            <x v="3"/>
          </reference>
        </references>
      </pivotArea>
    </chartFormat>
    <chartFormat chart="3" format="28">
      <pivotArea type="data" outline="0" fieldPosition="0">
        <references count="2">
          <reference field="4294967294" count="1" selected="0">
            <x v="0"/>
          </reference>
          <reference field="7" count="1" selected="0">
            <x v="4"/>
          </reference>
        </references>
      </pivotArea>
    </chartFormat>
    <chartFormat chart="3" format="29">
      <pivotArea type="data" outline="0" fieldPosition="0">
        <references count="2">
          <reference field="4294967294" count="1" selected="0">
            <x v="0"/>
          </reference>
          <reference field="7" count="1" selected="0">
            <x v="5"/>
          </reference>
        </references>
      </pivotArea>
    </chartFormat>
    <chartFormat chart="3" format="30">
      <pivotArea type="data" outline="0" fieldPosition="0">
        <references count="2">
          <reference field="4294967294" count="1" selected="0">
            <x v="0"/>
          </reference>
          <reference field="7" count="1" selected="0">
            <x v="6"/>
          </reference>
        </references>
      </pivotArea>
    </chartFormat>
    <chartFormat chart="3" format="31">
      <pivotArea type="data" outline="0" fieldPosition="0">
        <references count="2">
          <reference field="4294967294" count="1" selected="0">
            <x v="0"/>
          </reference>
          <reference field="7" count="1" selected="0">
            <x v="8"/>
          </reference>
        </references>
      </pivotArea>
    </chartFormat>
    <chartFormat chart="3" format="32">
      <pivotArea type="data" outline="0" fieldPosition="0">
        <references count="2">
          <reference field="4294967294" count="1" selected="0">
            <x v="0"/>
          </reference>
          <reference field="7" count="1" selected="0">
            <x v="9"/>
          </reference>
        </references>
      </pivotArea>
    </chartFormat>
    <chartFormat chart="3" format="33">
      <pivotArea type="data" outline="0" fieldPosition="0">
        <references count="2">
          <reference field="4294967294" count="1" selected="0">
            <x v="0"/>
          </reference>
          <reference field="7" count="1" selected="0">
            <x v="10"/>
          </reference>
        </references>
      </pivotArea>
    </chartFormat>
    <chartFormat chart="3" format="34">
      <pivotArea type="data" outline="0" fieldPosition="0">
        <references count="2">
          <reference field="4294967294" count="1" selected="0">
            <x v="0"/>
          </reference>
          <reference field="7" count="1" selected="0">
            <x v="11"/>
          </reference>
        </references>
      </pivotArea>
    </chartFormat>
    <chartFormat chart="3" format="35">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79DEACE-C9D2-4C29-80FB-149BD86A03EB}" sourceName="Product_Category">
  <pivotTables>
    <pivotTable tabId="4" name="PivotTable5"/>
    <pivotTable tabId="4" name="PivotTable6"/>
    <pivotTable tabId="4" name="PivotTable7"/>
    <pivotTable tabId="4" name="PivotTable8"/>
  </pivotTables>
  <data>
    <tabular pivotCacheId="1295122136">
      <items count="6">
        <i x="4" s="1"/>
        <i x="1" s="1"/>
        <i x="0"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5CCE7A5-D6E5-416A-9055-AFB8B49C7B77}" sourceName="City">
  <pivotTables>
    <pivotTable tabId="4" name="PivotTable5"/>
    <pivotTable tabId="4" name="PivotTable6"/>
    <pivotTable tabId="4" name="PivotTable7"/>
    <pivotTable tabId="4" name="PivotTable8"/>
  </pivotTables>
  <data>
    <tabular pivotCacheId="1295122136">
      <items count="7">
        <i x="0" s="1"/>
        <i x="2" s="1"/>
        <i x="1" s="1"/>
        <i x="5" s="1"/>
        <i x="3"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_Date" xr10:uid="{77F49EAA-9D7B-4DEE-B080-0A346174CFA0}" sourceName="Years (Purchase_Date)">
  <pivotTables>
    <pivotTable tabId="4" name="PivotTable5"/>
    <pivotTable tabId="4" name="PivotTable6"/>
    <pivotTable tabId="4" name="PivotTable7"/>
    <pivotTable tabId="4" name="PivotTable8"/>
  </pivotTables>
  <data>
    <tabular pivotCacheId="1295122136">
      <items count="78">
        <i x="1" s="1"/>
        <i x="2" s="1"/>
        <i x="75" s="1"/>
        <i x="0" nd="1"/>
        <i x="77"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6"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urchase_Date" xr10:uid="{0A12A4FC-5CFF-45C2-8A91-1B9EFE7C3F62}" sourceName="Months (Purchase_Date)">
  <pivotTables>
    <pivotTable tabId="4" name="PivotTable9"/>
    <pivotTable tabId="4" name="PivotTable5"/>
    <pivotTable tabId="4" name="PivotTable6"/>
    <pivotTable tabId="4" name="PivotTable7"/>
    <pivotTable tabId="4" name="PivotTable8"/>
  </pivotTables>
  <data>
    <tabular pivotCacheId="1295122136">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CC8B9A86-3050-4FB2-9BE1-6B92BE55104F}" cache="Slicer_Product_Category" caption="Product_Category" rowHeight="251883"/>
  <slicer name="City" xr10:uid="{4757AF2C-2F47-46EB-BF8E-B0D060BF2FF8}" cache="Slicer_City" caption="City" rowHeight="251883"/>
  <slicer name="Years (Purchase_Date)" xr10:uid="{14701DFE-A2A4-4011-909A-1EE3DDDCDC3D}" cache="Slicer_Years__Purchase_Date" caption="Years (Purchase_Date)" rowHeight="251883"/>
  <slicer name="Months (Purchase_Date)" xr10:uid="{36D9289D-5879-4168-9799-190B349B4F77}" cache="Slicer_Months__Purchase_Date" caption="Months (Purchase_Date)" columnCount="1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4F0A45-685B-4502-9974-783519AFE5FF}" name="Table2" displayName="Table2" ref="A3:G295" totalsRowShown="0">
  <autoFilter ref="A3:G295" xr:uid="{C94F0A45-685B-4502-9974-783519AFE5FF}"/>
  <tableColumns count="7">
    <tableColumn id="1" xr3:uid="{5701C93A-2BC7-4151-8C5D-5C0C6B484EA6}" name="Transaction_ID"/>
    <tableColumn id="2" xr3:uid="{0BD3AE1C-5AB7-42F9-AED6-145578A6D1C1}" name="Purchase_Date" dataDxfId="17"/>
    <tableColumn id="3" xr3:uid="{6A89EE1E-8DBA-4357-8C30-A850E16B5208}" name="Customer_Type"/>
    <tableColumn id="4" xr3:uid="{7774273E-5942-459A-8DE4-DFE2D67C2095}" name="Product_Category"/>
    <tableColumn id="5" xr3:uid="{68FE4344-C340-4D5F-B672-07854BB5DC04}" name="Quantity"/>
    <tableColumn id="6" xr3:uid="{C7645C06-D6D9-433E-9FCA-3488E66E1AFB}" name="Unit_Price"/>
    <tableColumn id="7" xr3:uid="{747B6A3C-62B0-4AF1-9427-11BD7EDC8BF4}" name="C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D1F2DE-13D9-4547-B855-985D067AD8BF}" name="Table1" displayName="Table1" ref="A1:H293" totalsRowShown="0" headerRowDxfId="16">
  <autoFilter ref="A1:H293" xr:uid="{BBD1F2DE-13D9-4547-B855-985D067AD8BF}">
    <filterColumn colId="1">
      <filters>
        <dateGroupItem year="2099" dateTimeGrouping="year"/>
      </filters>
    </filterColumn>
  </autoFilter>
  <sortState xmlns:xlrd2="http://schemas.microsoft.com/office/spreadsheetml/2017/richdata2" ref="A5:H293">
    <sortCondition ref="A1:A293"/>
  </sortState>
  <tableColumns count="8">
    <tableColumn id="1" xr3:uid="{A60E5912-8EBE-49DB-AFDC-5D8964E4EB80}" name="Transaction_ID"/>
    <tableColumn id="2" xr3:uid="{E6D551B6-900F-4708-9492-4F96DC70B668}" name="Purchase_Date" dataDxfId="15"/>
    <tableColumn id="3" xr3:uid="{1BE98C23-7693-4456-B8E2-2780C1B130E6}" name="Customer_Type"/>
    <tableColumn id="4" xr3:uid="{D874F2EE-5523-42A9-96DD-F5979417C8C4}" name="Product_Category"/>
    <tableColumn id="5" xr3:uid="{0A5290C3-3278-4CDE-97C5-900713677D16}" name="Quantity"/>
    <tableColumn id="6" xr3:uid="{D0C85072-F1C3-4C20-8AF5-A71726E1C56B}" name="Unit_Price" dataDxfId="14" dataCellStyle="Currency"/>
    <tableColumn id="9" xr3:uid="{07228A48-4853-4E3D-A7CC-1A15379BDF2A}" name="Revenue" dataDxfId="13" dataCellStyle="Currency">
      <calculatedColumnFormula>Table1[[#This Row],[Quantity]]*Table1[[#This Row],[Unit_Price]]</calculatedColumnFormula>
    </tableColumn>
    <tableColumn id="7" xr3:uid="{5F69E883-AF20-4345-A5DA-8B4C8942D6A2}"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2223-2CED-450F-879A-9DEE84069AE2}">
  <dimension ref="A1:H301"/>
  <sheetViews>
    <sheetView workbookViewId="0">
      <selection activeCell="A299" sqref="A1:A299"/>
    </sheetView>
  </sheetViews>
  <sheetFormatPr defaultRowHeight="14.5"/>
  <cols>
    <col min="1" max="8" width="17.7265625" customWidth="1"/>
  </cols>
  <sheetData>
    <row r="1" spans="1:8">
      <c r="A1" s="8" t="s">
        <v>0</v>
      </c>
      <c r="B1" s="8" t="s">
        <v>1</v>
      </c>
      <c r="C1" s="8"/>
      <c r="D1" s="8" t="s">
        <v>2</v>
      </c>
      <c r="E1" s="8" t="s">
        <v>3</v>
      </c>
      <c r="F1" s="8" t="s">
        <v>4</v>
      </c>
      <c r="G1" s="8" t="s">
        <v>5</v>
      </c>
      <c r="H1" s="8" t="s">
        <v>6</v>
      </c>
    </row>
    <row r="2" spans="1:8">
      <c r="A2" s="7" t="s">
        <v>7</v>
      </c>
      <c r="B2" s="9">
        <v>46070</v>
      </c>
      <c r="C2" s="9" t="b">
        <f>OR(LEFT(H2,1)=" ", RIGHT(H2,1)=" ")</f>
        <v>0</v>
      </c>
      <c r="D2" s="7" t="s">
        <v>8</v>
      </c>
      <c r="E2" s="7" t="s">
        <v>9</v>
      </c>
      <c r="F2" s="7">
        <v>2</v>
      </c>
      <c r="G2" s="10">
        <v>19.5</v>
      </c>
      <c r="H2" s="7" t="s">
        <v>10</v>
      </c>
    </row>
    <row r="3" spans="1:8">
      <c r="A3" s="7" t="s">
        <v>11</v>
      </c>
      <c r="B3" s="9">
        <v>46141</v>
      </c>
      <c r="C3" s="9" t="b">
        <f t="shared" ref="C3:C66" si="0">OR(LEFT(H3,1)=" ", RIGHT(H3,1)=" ")</f>
        <v>0</v>
      </c>
      <c r="D3" s="7" t="s">
        <v>12</v>
      </c>
      <c r="E3" s="7" t="s">
        <v>360</v>
      </c>
      <c r="F3" s="7">
        <v>8</v>
      </c>
      <c r="G3" s="10">
        <v>28.52</v>
      </c>
      <c r="H3" s="7" t="s">
        <v>14</v>
      </c>
    </row>
    <row r="4" spans="1:8">
      <c r="A4" s="7" t="s">
        <v>15</v>
      </c>
      <c r="B4" s="9">
        <v>46127</v>
      </c>
      <c r="C4" s="9" t="b">
        <f t="shared" si="0"/>
        <v>0</v>
      </c>
      <c r="D4" s="7" t="s">
        <v>8</v>
      </c>
      <c r="E4" s="7" t="s">
        <v>9</v>
      </c>
      <c r="F4" s="7">
        <v>8</v>
      </c>
      <c r="G4" s="10">
        <v>22.92</v>
      </c>
      <c r="H4" s="7" t="s">
        <v>16</v>
      </c>
    </row>
    <row r="5" spans="1:8">
      <c r="A5" s="7" t="s">
        <v>17</v>
      </c>
      <c r="B5" s="9">
        <v>45799</v>
      </c>
      <c r="C5" s="9" t="b">
        <f t="shared" si="0"/>
        <v>0</v>
      </c>
      <c r="D5" s="7" t="s">
        <v>12</v>
      </c>
      <c r="E5" s="7" t="s">
        <v>9</v>
      </c>
      <c r="F5" s="7">
        <v>5</v>
      </c>
      <c r="G5" s="10">
        <v>11.09</v>
      </c>
      <c r="H5" s="7" t="s">
        <v>10</v>
      </c>
    </row>
    <row r="6" spans="1:8">
      <c r="A6" s="7"/>
      <c r="B6" s="9">
        <v>45792</v>
      </c>
      <c r="C6" s="9" t="b">
        <f t="shared" si="0"/>
        <v>0</v>
      </c>
      <c r="D6" s="7" t="s">
        <v>12</v>
      </c>
      <c r="E6" s="7" t="s">
        <v>13</v>
      </c>
      <c r="F6" s="7">
        <v>4</v>
      </c>
      <c r="G6" s="10">
        <v>48.36</v>
      </c>
      <c r="H6" s="7" t="s">
        <v>10</v>
      </c>
    </row>
    <row r="7" spans="1:8">
      <c r="A7" s="7" t="s">
        <v>18</v>
      </c>
      <c r="B7" s="9">
        <v>45800</v>
      </c>
      <c r="C7" s="9" t="b">
        <f t="shared" si="0"/>
        <v>0</v>
      </c>
      <c r="D7" s="7"/>
      <c r="E7" s="7" t="s">
        <v>19</v>
      </c>
      <c r="F7" s="7">
        <v>2</v>
      </c>
      <c r="G7" s="10">
        <v>6.08</v>
      </c>
      <c r="H7" s="7" t="s">
        <v>16</v>
      </c>
    </row>
    <row r="8" spans="1:8">
      <c r="A8" s="7" t="s">
        <v>20</v>
      </c>
      <c r="B8" s="9">
        <v>45828</v>
      </c>
      <c r="C8" s="9" t="b">
        <f t="shared" si="0"/>
        <v>0</v>
      </c>
      <c r="D8" s="7" t="s">
        <v>12</v>
      </c>
      <c r="E8" s="7" t="s">
        <v>9</v>
      </c>
      <c r="F8" s="7">
        <v>6</v>
      </c>
      <c r="G8" s="10">
        <v>15.41</v>
      </c>
      <c r="H8" s="7" t="s">
        <v>10</v>
      </c>
    </row>
    <row r="9" spans="1:8">
      <c r="A9" s="7" t="s">
        <v>21</v>
      </c>
      <c r="B9" s="9">
        <v>45876</v>
      </c>
      <c r="C9" s="9" t="b">
        <f t="shared" si="0"/>
        <v>0</v>
      </c>
      <c r="D9" s="7" t="s">
        <v>12</v>
      </c>
      <c r="E9" s="7" t="s">
        <v>19</v>
      </c>
      <c r="F9" s="7" t="s">
        <v>22</v>
      </c>
      <c r="G9" s="10">
        <v>5.18</v>
      </c>
      <c r="H9" s="7" t="s">
        <v>23</v>
      </c>
    </row>
    <row r="10" spans="1:8">
      <c r="A10" s="7" t="s">
        <v>24</v>
      </c>
      <c r="B10" s="9">
        <v>45747</v>
      </c>
      <c r="C10" s="9" t="b">
        <f t="shared" si="0"/>
        <v>0</v>
      </c>
      <c r="D10" s="7" t="s">
        <v>12</v>
      </c>
      <c r="E10" s="7" t="s">
        <v>13</v>
      </c>
      <c r="F10" s="7">
        <v>5</v>
      </c>
      <c r="G10" s="10">
        <v>37.11</v>
      </c>
      <c r="H10" s="7" t="s">
        <v>10</v>
      </c>
    </row>
    <row r="11" spans="1:8" ht="26" customHeight="1">
      <c r="A11" s="7" t="s">
        <v>25</v>
      </c>
      <c r="B11" s="9">
        <v>45950</v>
      </c>
      <c r="C11" s="9" t="b">
        <f t="shared" si="0"/>
        <v>0</v>
      </c>
      <c r="D11" s="7" t="s">
        <v>12</v>
      </c>
      <c r="E11" s="7" t="s">
        <v>19</v>
      </c>
      <c r="F11" s="7"/>
      <c r="G11" s="10">
        <v>6.03</v>
      </c>
      <c r="H11" s="7" t="s">
        <v>10</v>
      </c>
    </row>
    <row r="12" spans="1:8">
      <c r="A12" s="7" t="s">
        <v>26</v>
      </c>
      <c r="B12" s="9">
        <v>45985</v>
      </c>
      <c r="C12" s="9" t="b">
        <f t="shared" si="0"/>
        <v>0</v>
      </c>
      <c r="D12" s="7" t="s">
        <v>12</v>
      </c>
      <c r="E12" s="7" t="s">
        <v>27</v>
      </c>
      <c r="F12" s="7">
        <v>8</v>
      </c>
      <c r="G12" s="10">
        <v>245.1</v>
      </c>
      <c r="H12" s="7" t="s">
        <v>14</v>
      </c>
    </row>
    <row r="13" spans="1:8">
      <c r="A13" s="7" t="s">
        <v>28</v>
      </c>
      <c r="B13" s="9">
        <v>45881</v>
      </c>
      <c r="C13" s="9" t="b">
        <f t="shared" si="0"/>
        <v>0</v>
      </c>
      <c r="D13" s="7" t="s">
        <v>12</v>
      </c>
      <c r="E13" s="7" t="s">
        <v>27</v>
      </c>
      <c r="F13" s="7"/>
      <c r="G13" s="10">
        <v>182.27</v>
      </c>
      <c r="H13" s="7" t="s">
        <v>14</v>
      </c>
    </row>
    <row r="14" spans="1:8">
      <c r="A14" s="7" t="s">
        <v>29</v>
      </c>
      <c r="B14" s="9">
        <v>45928</v>
      </c>
      <c r="C14" s="9" t="b">
        <f t="shared" si="0"/>
        <v>0</v>
      </c>
      <c r="D14" s="7" t="s">
        <v>12</v>
      </c>
      <c r="E14" s="7" t="s">
        <v>27</v>
      </c>
      <c r="F14" s="7">
        <v>7</v>
      </c>
      <c r="G14" s="10">
        <v>327.5</v>
      </c>
      <c r="H14" s="7" t="s">
        <v>23</v>
      </c>
    </row>
    <row r="15" spans="1:8">
      <c r="A15" s="7" t="s">
        <v>30</v>
      </c>
      <c r="B15" s="9">
        <v>45881</v>
      </c>
      <c r="C15" s="9" t="b">
        <f t="shared" si="0"/>
        <v>0</v>
      </c>
      <c r="D15" s="7" t="s">
        <v>12</v>
      </c>
      <c r="E15" s="7" t="s">
        <v>9</v>
      </c>
      <c r="F15" s="7">
        <v>4</v>
      </c>
      <c r="G15" s="10">
        <v>19.88</v>
      </c>
      <c r="H15" s="7"/>
    </row>
    <row r="16" spans="1:8">
      <c r="A16" s="7" t="s">
        <v>31</v>
      </c>
      <c r="B16" s="9">
        <v>45833</v>
      </c>
      <c r="C16" s="9" t="b">
        <f t="shared" si="0"/>
        <v>0</v>
      </c>
      <c r="D16" s="7" t="s">
        <v>12</v>
      </c>
      <c r="E16" s="7" t="s">
        <v>13</v>
      </c>
      <c r="F16" s="7">
        <v>7</v>
      </c>
      <c r="G16" s="10">
        <v>66.59</v>
      </c>
      <c r="H16" s="7" t="s">
        <v>10</v>
      </c>
    </row>
    <row r="17" spans="1:8">
      <c r="A17" s="7" t="s">
        <v>32</v>
      </c>
      <c r="B17" s="9">
        <v>45978</v>
      </c>
      <c r="C17" s="9" t="b">
        <f t="shared" si="0"/>
        <v>0</v>
      </c>
      <c r="D17" s="7" t="s">
        <v>12</v>
      </c>
      <c r="E17" s="7" t="s">
        <v>19</v>
      </c>
      <c r="F17" s="7">
        <v>2</v>
      </c>
      <c r="G17" s="10">
        <v>12.08</v>
      </c>
      <c r="H17" s="7" t="s">
        <v>33</v>
      </c>
    </row>
    <row r="18" spans="1:8">
      <c r="A18" s="7" t="s">
        <v>34</v>
      </c>
      <c r="B18" s="9">
        <v>45835</v>
      </c>
      <c r="C18" s="9" t="b">
        <f t="shared" si="0"/>
        <v>0</v>
      </c>
      <c r="D18" s="7" t="s">
        <v>8</v>
      </c>
      <c r="E18" s="7" t="s">
        <v>19</v>
      </c>
      <c r="F18" s="7">
        <v>6</v>
      </c>
      <c r="G18" s="10">
        <v>7.75</v>
      </c>
      <c r="H18" s="7"/>
    </row>
    <row r="19" spans="1:8">
      <c r="A19" s="7" t="s">
        <v>35</v>
      </c>
      <c r="B19" s="9">
        <v>46133</v>
      </c>
      <c r="C19" s="9" t="b">
        <f t="shared" si="0"/>
        <v>0</v>
      </c>
      <c r="D19" s="7" t="s">
        <v>12</v>
      </c>
      <c r="E19" s="7" t="s">
        <v>9</v>
      </c>
      <c r="F19" s="7">
        <v>4</v>
      </c>
      <c r="G19" s="10">
        <v>22.56</v>
      </c>
      <c r="H19" s="7" t="s">
        <v>33</v>
      </c>
    </row>
    <row r="20" spans="1:8">
      <c r="A20" s="7" t="s">
        <v>36</v>
      </c>
      <c r="B20" s="9">
        <v>45871</v>
      </c>
      <c r="C20" s="9" t="b">
        <f t="shared" si="0"/>
        <v>0</v>
      </c>
      <c r="D20" s="7" t="s">
        <v>8</v>
      </c>
      <c r="E20" s="7" t="s">
        <v>9</v>
      </c>
      <c r="F20" s="7">
        <v>3</v>
      </c>
      <c r="G20" s="10">
        <v>18.850000000000001</v>
      </c>
      <c r="H20" s="7" t="s">
        <v>10</v>
      </c>
    </row>
    <row r="21" spans="1:8">
      <c r="A21" s="7" t="s">
        <v>37</v>
      </c>
      <c r="B21" s="9">
        <v>45950</v>
      </c>
      <c r="C21" s="9" t="b">
        <f t="shared" si="0"/>
        <v>0</v>
      </c>
      <c r="D21" s="7" t="s">
        <v>8</v>
      </c>
      <c r="E21" s="7" t="s">
        <v>38</v>
      </c>
      <c r="F21" s="7">
        <v>5</v>
      </c>
      <c r="G21" s="10">
        <v>55.83</v>
      </c>
      <c r="H21" s="7" t="s">
        <v>10</v>
      </c>
    </row>
    <row r="22" spans="1:8">
      <c r="A22" s="7" t="s">
        <v>39</v>
      </c>
      <c r="B22" s="9">
        <v>46028</v>
      </c>
      <c r="C22" s="9" t="b">
        <f t="shared" si="0"/>
        <v>0</v>
      </c>
      <c r="D22" s="7" t="s">
        <v>12</v>
      </c>
      <c r="E22" s="7" t="s">
        <v>13</v>
      </c>
      <c r="F22" s="7">
        <v>7</v>
      </c>
      <c r="G22" s="10">
        <v>48.09</v>
      </c>
      <c r="H22" s="7"/>
    </row>
    <row r="23" spans="1:8">
      <c r="A23" s="7" t="s">
        <v>40</v>
      </c>
      <c r="B23" s="9">
        <v>46083</v>
      </c>
      <c r="C23" s="9" t="b">
        <f t="shared" si="0"/>
        <v>0</v>
      </c>
      <c r="D23" s="7" t="s">
        <v>12</v>
      </c>
      <c r="E23" s="7" t="s">
        <v>19</v>
      </c>
      <c r="F23" s="7">
        <v>2</v>
      </c>
      <c r="G23" s="10">
        <v>10.43</v>
      </c>
      <c r="H23" s="7" t="s">
        <v>10</v>
      </c>
    </row>
    <row r="24" spans="1:8">
      <c r="A24" s="7" t="s">
        <v>41</v>
      </c>
      <c r="B24" s="9">
        <v>46205</v>
      </c>
      <c r="C24" s="9" t="b">
        <f t="shared" si="0"/>
        <v>0</v>
      </c>
      <c r="D24" s="7" t="s">
        <v>12</v>
      </c>
      <c r="E24" s="7" t="s">
        <v>13</v>
      </c>
      <c r="F24" s="7">
        <v>5</v>
      </c>
      <c r="G24" s="10">
        <v>28.03</v>
      </c>
      <c r="H24" s="7" t="s">
        <v>14</v>
      </c>
    </row>
    <row r="25" spans="1:8">
      <c r="A25" s="7" t="s">
        <v>42</v>
      </c>
      <c r="B25" s="9">
        <v>46012</v>
      </c>
      <c r="C25" s="9" t="b">
        <f t="shared" si="0"/>
        <v>0</v>
      </c>
      <c r="D25" s="7" t="s">
        <v>12</v>
      </c>
      <c r="E25" s="7" t="s">
        <v>9</v>
      </c>
      <c r="F25" s="7">
        <v>30</v>
      </c>
      <c r="G25" s="10">
        <v>23.37</v>
      </c>
      <c r="H25" s="7" t="s">
        <v>33</v>
      </c>
    </row>
    <row r="26" spans="1:8">
      <c r="A26" s="7" t="s">
        <v>43</v>
      </c>
      <c r="B26" s="9">
        <v>45761</v>
      </c>
      <c r="C26" s="9" t="b">
        <f t="shared" si="0"/>
        <v>0</v>
      </c>
      <c r="D26" s="7" t="s">
        <v>12</v>
      </c>
      <c r="E26" s="7" t="s">
        <v>27</v>
      </c>
      <c r="F26" s="7">
        <v>6</v>
      </c>
      <c r="G26" s="10"/>
      <c r="H26" s="7" t="s">
        <v>14</v>
      </c>
    </row>
    <row r="27" spans="1:8">
      <c r="A27" s="7" t="s">
        <v>44</v>
      </c>
      <c r="B27" s="9">
        <v>45751</v>
      </c>
      <c r="C27" s="9" t="b">
        <f t="shared" si="0"/>
        <v>0</v>
      </c>
      <c r="D27" s="7" t="s">
        <v>8</v>
      </c>
      <c r="E27" s="7" t="s">
        <v>9</v>
      </c>
      <c r="F27" s="7">
        <v>4</v>
      </c>
      <c r="G27" s="10">
        <v>24.99</v>
      </c>
      <c r="H27" s="7" t="s">
        <v>10</v>
      </c>
    </row>
    <row r="28" spans="1:8">
      <c r="A28" s="7" t="s">
        <v>45</v>
      </c>
      <c r="B28" s="9">
        <v>46178</v>
      </c>
      <c r="C28" s="9" t="b">
        <f t="shared" si="0"/>
        <v>0</v>
      </c>
      <c r="D28" s="7" t="s">
        <v>8</v>
      </c>
      <c r="E28" s="7" t="s">
        <v>9</v>
      </c>
      <c r="F28" s="7">
        <v>2</v>
      </c>
      <c r="G28" s="10"/>
      <c r="H28" s="7" t="s">
        <v>10</v>
      </c>
    </row>
    <row r="29" spans="1:8">
      <c r="A29" s="7" t="s">
        <v>46</v>
      </c>
      <c r="B29" s="9">
        <v>45900</v>
      </c>
      <c r="C29" s="9" t="b">
        <f t="shared" si="0"/>
        <v>0</v>
      </c>
      <c r="D29" s="7" t="s">
        <v>12</v>
      </c>
      <c r="E29" s="7" t="s">
        <v>27</v>
      </c>
      <c r="F29" s="7">
        <v>6</v>
      </c>
      <c r="G29" s="10">
        <v>329.67</v>
      </c>
      <c r="H29" s="7" t="s">
        <v>10</v>
      </c>
    </row>
    <row r="30" spans="1:8">
      <c r="A30" s="7" t="s">
        <v>47</v>
      </c>
      <c r="B30" s="9">
        <v>45864</v>
      </c>
      <c r="C30" s="9" t="b">
        <f t="shared" si="0"/>
        <v>0</v>
      </c>
      <c r="D30" s="7" t="s">
        <v>8</v>
      </c>
      <c r="E30" s="7" t="s">
        <v>38</v>
      </c>
      <c r="F30" s="7">
        <v>4</v>
      </c>
      <c r="G30" s="10">
        <v>134.88999999999999</v>
      </c>
      <c r="H30" s="7" t="s">
        <v>33</v>
      </c>
    </row>
    <row r="31" spans="1:8">
      <c r="A31" s="7"/>
      <c r="B31" s="9">
        <v>45731</v>
      </c>
      <c r="C31" s="9" t="b">
        <f t="shared" si="0"/>
        <v>0</v>
      </c>
      <c r="D31" s="7" t="s">
        <v>12</v>
      </c>
      <c r="E31" s="7" t="s">
        <v>19</v>
      </c>
      <c r="F31" s="7">
        <v>3</v>
      </c>
      <c r="G31" s="10">
        <v>12.72</v>
      </c>
      <c r="H31" s="7" t="s">
        <v>10</v>
      </c>
    </row>
    <row r="32" spans="1:8">
      <c r="A32" s="7" t="s">
        <v>48</v>
      </c>
      <c r="B32" s="9"/>
      <c r="C32" s="9" t="b">
        <f t="shared" si="0"/>
        <v>0</v>
      </c>
      <c r="D32" s="7" t="s">
        <v>12</v>
      </c>
      <c r="E32" s="7" t="s">
        <v>27</v>
      </c>
      <c r="F32" s="7">
        <v>5</v>
      </c>
      <c r="G32" s="10">
        <v>235.34</v>
      </c>
      <c r="H32" s="7" t="s">
        <v>10</v>
      </c>
    </row>
    <row r="33" spans="1:8">
      <c r="A33" s="7" t="s">
        <v>49</v>
      </c>
      <c r="B33" s="9">
        <v>46185</v>
      </c>
      <c r="C33" s="9" t="b">
        <f t="shared" si="0"/>
        <v>0</v>
      </c>
      <c r="D33" s="7" t="s">
        <v>50</v>
      </c>
      <c r="E33" s="7" t="s">
        <v>13</v>
      </c>
      <c r="F33" s="7"/>
      <c r="G33" s="10">
        <v>49.58</v>
      </c>
      <c r="H33" s="7" t="s">
        <v>51</v>
      </c>
    </row>
    <row r="34" spans="1:8">
      <c r="A34" s="7" t="s">
        <v>52</v>
      </c>
      <c r="B34" s="9">
        <v>45787</v>
      </c>
      <c r="C34" s="9" t="b">
        <f t="shared" si="0"/>
        <v>0</v>
      </c>
      <c r="D34" s="7" t="s">
        <v>12</v>
      </c>
      <c r="E34" s="7" t="s">
        <v>27</v>
      </c>
      <c r="F34" s="7">
        <v>2</v>
      </c>
      <c r="G34" s="10"/>
      <c r="H34" s="7" t="s">
        <v>10</v>
      </c>
    </row>
    <row r="35" spans="1:8">
      <c r="A35" s="7" t="s">
        <v>53</v>
      </c>
      <c r="B35" s="9"/>
      <c r="C35" s="9" t="b">
        <f t="shared" si="0"/>
        <v>0</v>
      </c>
      <c r="D35" s="7" t="s">
        <v>8</v>
      </c>
      <c r="E35" s="7" t="s">
        <v>27</v>
      </c>
      <c r="F35" s="7">
        <v>5</v>
      </c>
      <c r="G35" s="10">
        <v>141.30000000000001</v>
      </c>
      <c r="H35" s="7" t="s">
        <v>51</v>
      </c>
    </row>
    <row r="36" spans="1:8">
      <c r="A36" s="7" t="s">
        <v>54</v>
      </c>
      <c r="B36" s="9">
        <v>45702</v>
      </c>
      <c r="C36" s="9" t="b">
        <f t="shared" si="0"/>
        <v>0</v>
      </c>
      <c r="D36" s="7" t="s">
        <v>8</v>
      </c>
      <c r="E36" s="7"/>
      <c r="F36" s="7">
        <v>2</v>
      </c>
      <c r="G36" s="10">
        <v>27.15</v>
      </c>
      <c r="H36" s="7" t="s">
        <v>10</v>
      </c>
    </row>
    <row r="37" spans="1:8">
      <c r="A37" s="7" t="s">
        <v>55</v>
      </c>
      <c r="B37" s="9">
        <v>45751</v>
      </c>
      <c r="C37" s="9" t="b">
        <f t="shared" si="0"/>
        <v>0</v>
      </c>
      <c r="D37" s="7" t="s">
        <v>8</v>
      </c>
      <c r="E37" s="7" t="s">
        <v>27</v>
      </c>
      <c r="F37" s="7">
        <v>7</v>
      </c>
      <c r="G37" s="10">
        <v>145.01</v>
      </c>
      <c r="H37" s="7" t="s">
        <v>16</v>
      </c>
    </row>
    <row r="38" spans="1:8">
      <c r="A38" s="7" t="s">
        <v>56</v>
      </c>
      <c r="B38" s="9">
        <v>46092</v>
      </c>
      <c r="C38" s="9" t="b">
        <f t="shared" si="0"/>
        <v>0</v>
      </c>
      <c r="D38" s="7" t="s">
        <v>8</v>
      </c>
      <c r="E38" s="7" t="s">
        <v>19</v>
      </c>
      <c r="F38" s="7">
        <v>4</v>
      </c>
      <c r="G38" s="10">
        <v>12.26</v>
      </c>
      <c r="H38" s="7"/>
    </row>
    <row r="39" spans="1:8">
      <c r="A39" s="7" t="s">
        <v>57</v>
      </c>
      <c r="B39" s="9">
        <v>45776</v>
      </c>
      <c r="C39" s="9" t="b">
        <f t="shared" si="0"/>
        <v>0</v>
      </c>
      <c r="D39" s="7" t="s">
        <v>8</v>
      </c>
      <c r="E39" s="7"/>
      <c r="F39" s="7">
        <v>2</v>
      </c>
      <c r="G39" s="10">
        <v>21.57</v>
      </c>
      <c r="H39" s="7" t="s">
        <v>23</v>
      </c>
    </row>
    <row r="40" spans="1:8">
      <c r="A40" s="7" t="s">
        <v>58</v>
      </c>
      <c r="B40" s="9">
        <v>45799</v>
      </c>
      <c r="C40" s="9" t="b">
        <f t="shared" si="0"/>
        <v>0</v>
      </c>
      <c r="D40" s="7" t="s">
        <v>12</v>
      </c>
      <c r="E40" s="7" t="s">
        <v>38</v>
      </c>
      <c r="F40" s="7">
        <v>8</v>
      </c>
      <c r="G40" s="10">
        <v>128.55000000000001</v>
      </c>
      <c r="H40" s="7" t="s">
        <v>16</v>
      </c>
    </row>
    <row r="41" spans="1:8">
      <c r="A41" s="7" t="s">
        <v>59</v>
      </c>
      <c r="B41" s="9">
        <v>45658</v>
      </c>
      <c r="C41" s="9" t="b">
        <f t="shared" si="0"/>
        <v>0</v>
      </c>
      <c r="D41" s="7" t="s">
        <v>12</v>
      </c>
      <c r="E41" s="7" t="s">
        <v>9</v>
      </c>
      <c r="F41" s="7">
        <v>3</v>
      </c>
      <c r="G41" s="10">
        <v>26.83</v>
      </c>
      <c r="H41" s="7" t="s">
        <v>10</v>
      </c>
    </row>
    <row r="42" spans="1:8">
      <c r="A42" s="7" t="s">
        <v>60</v>
      </c>
      <c r="B42" s="9">
        <v>45932</v>
      </c>
      <c r="C42" s="9" t="b">
        <f t="shared" si="0"/>
        <v>0</v>
      </c>
      <c r="D42" s="7" t="s">
        <v>12</v>
      </c>
      <c r="E42" s="7" t="s">
        <v>13</v>
      </c>
      <c r="F42" s="7">
        <v>4</v>
      </c>
      <c r="G42" s="10">
        <v>47.8</v>
      </c>
      <c r="H42" s="7" t="s">
        <v>10</v>
      </c>
    </row>
    <row r="43" spans="1:8">
      <c r="A43" s="7" t="s">
        <v>61</v>
      </c>
      <c r="B43" s="9">
        <v>46082</v>
      </c>
      <c r="C43" s="9" t="b">
        <f t="shared" si="0"/>
        <v>0</v>
      </c>
      <c r="D43" s="7" t="s">
        <v>8</v>
      </c>
      <c r="E43" s="7" t="s">
        <v>19</v>
      </c>
      <c r="F43" s="7">
        <v>4</v>
      </c>
      <c r="G43" s="10">
        <v>6.56</v>
      </c>
      <c r="H43" s="7" t="s">
        <v>14</v>
      </c>
    </row>
    <row r="44" spans="1:8">
      <c r="A44" s="7" t="s">
        <v>62</v>
      </c>
      <c r="B44" s="9">
        <v>45699</v>
      </c>
      <c r="C44" s="9" t="b">
        <f t="shared" si="0"/>
        <v>0</v>
      </c>
      <c r="D44" s="7" t="s">
        <v>8</v>
      </c>
      <c r="E44" s="7" t="s">
        <v>9</v>
      </c>
      <c r="F44" s="7">
        <v>2</v>
      </c>
      <c r="G44" s="10">
        <v>11.46</v>
      </c>
      <c r="H44" s="7" t="s">
        <v>14</v>
      </c>
    </row>
    <row r="45" spans="1:8">
      <c r="A45" s="7" t="s">
        <v>63</v>
      </c>
      <c r="B45" s="9">
        <v>45720</v>
      </c>
      <c r="C45" s="9" t="b">
        <f t="shared" si="0"/>
        <v>0</v>
      </c>
      <c r="D45" s="7" t="s">
        <v>12</v>
      </c>
      <c r="E45" s="7" t="s">
        <v>27</v>
      </c>
      <c r="F45" s="7">
        <v>1</v>
      </c>
      <c r="G45" s="10">
        <v>345.15</v>
      </c>
      <c r="H45" s="7" t="s">
        <v>10</v>
      </c>
    </row>
    <row r="46" spans="1:8">
      <c r="A46" s="7" t="s">
        <v>64</v>
      </c>
      <c r="B46" s="9">
        <v>45730</v>
      </c>
      <c r="C46" s="9" t="b">
        <f t="shared" si="0"/>
        <v>0</v>
      </c>
      <c r="D46" s="7" t="s">
        <v>12</v>
      </c>
      <c r="E46" s="7" t="s">
        <v>13</v>
      </c>
      <c r="F46" s="7">
        <v>3</v>
      </c>
      <c r="G46" s="10">
        <v>52.56</v>
      </c>
      <c r="H46" s="7" t="s">
        <v>33</v>
      </c>
    </row>
    <row r="47" spans="1:8">
      <c r="A47" s="7" t="s">
        <v>65</v>
      </c>
      <c r="B47" s="9">
        <v>45973</v>
      </c>
      <c r="C47" s="9" t="b">
        <f t="shared" si="0"/>
        <v>0</v>
      </c>
      <c r="D47" s="7" t="s">
        <v>12</v>
      </c>
      <c r="E47" s="7" t="s">
        <v>13</v>
      </c>
      <c r="F47" s="7">
        <v>1</v>
      </c>
      <c r="G47" s="10">
        <v>25.9</v>
      </c>
      <c r="H47" s="7" t="s">
        <v>51</v>
      </c>
    </row>
    <row r="48" spans="1:8">
      <c r="A48" s="7"/>
      <c r="B48" s="9">
        <v>46091</v>
      </c>
      <c r="C48" s="9" t="b">
        <f t="shared" si="0"/>
        <v>0</v>
      </c>
      <c r="D48" s="7" t="s">
        <v>12</v>
      </c>
      <c r="E48" s="7" t="s">
        <v>27</v>
      </c>
      <c r="F48" s="7">
        <v>2</v>
      </c>
      <c r="G48" s="10">
        <v>168.49</v>
      </c>
      <c r="H48" s="7" t="s">
        <v>16</v>
      </c>
    </row>
    <row r="49" spans="1:8">
      <c r="A49" s="7" t="s">
        <v>66</v>
      </c>
      <c r="B49" s="9">
        <v>46108</v>
      </c>
      <c r="C49" s="9" t="b">
        <f t="shared" si="0"/>
        <v>0</v>
      </c>
      <c r="D49" s="7" t="s">
        <v>12</v>
      </c>
      <c r="E49" s="7" t="s">
        <v>13</v>
      </c>
      <c r="F49" s="7">
        <v>5</v>
      </c>
      <c r="G49" s="10">
        <v>25.76</v>
      </c>
      <c r="H49" s="7" t="s">
        <v>33</v>
      </c>
    </row>
    <row r="50" spans="1:8">
      <c r="A50" s="7" t="s">
        <v>67</v>
      </c>
      <c r="B50" s="9">
        <v>45778</v>
      </c>
      <c r="C50" s="9" t="b">
        <f t="shared" si="0"/>
        <v>0</v>
      </c>
      <c r="D50" s="7" t="s">
        <v>12</v>
      </c>
      <c r="E50" s="7" t="s">
        <v>27</v>
      </c>
      <c r="F50" s="7">
        <v>7</v>
      </c>
      <c r="G50" s="10">
        <v>316.54000000000002</v>
      </c>
      <c r="H50" s="7" t="s">
        <v>16</v>
      </c>
    </row>
    <row r="51" spans="1:8">
      <c r="A51" s="7" t="s">
        <v>68</v>
      </c>
      <c r="B51" s="9">
        <v>45949</v>
      </c>
      <c r="C51" s="9" t="b">
        <f t="shared" si="0"/>
        <v>0</v>
      </c>
      <c r="D51" s="7" t="s">
        <v>8</v>
      </c>
      <c r="E51" s="7" t="s">
        <v>9</v>
      </c>
      <c r="F51" s="7">
        <v>7</v>
      </c>
      <c r="G51" s="10">
        <v>11.53</v>
      </c>
      <c r="H51" s="7" t="s">
        <v>14</v>
      </c>
    </row>
    <row r="52" spans="1:8">
      <c r="A52" s="7" t="s">
        <v>69</v>
      </c>
      <c r="B52" s="9">
        <v>45663</v>
      </c>
      <c r="C52" s="9" t="b">
        <f t="shared" si="0"/>
        <v>0</v>
      </c>
      <c r="D52" s="7" t="s">
        <v>8</v>
      </c>
      <c r="E52" s="7" t="s">
        <v>38</v>
      </c>
      <c r="F52" s="7">
        <v>5</v>
      </c>
      <c r="G52" s="10">
        <v>118.93</v>
      </c>
      <c r="H52" s="7" t="s">
        <v>23</v>
      </c>
    </row>
    <row r="53" spans="1:8">
      <c r="A53" s="7" t="s">
        <v>70</v>
      </c>
      <c r="B53" s="9">
        <v>45687</v>
      </c>
      <c r="C53" s="9" t="b">
        <f t="shared" si="0"/>
        <v>0</v>
      </c>
      <c r="D53" s="7" t="s">
        <v>12</v>
      </c>
      <c r="E53" s="7" t="s">
        <v>13</v>
      </c>
      <c r="F53" s="7">
        <v>1</v>
      </c>
      <c r="G53" s="10">
        <v>53.33</v>
      </c>
      <c r="H53" s="7" t="s">
        <v>51</v>
      </c>
    </row>
    <row r="54" spans="1:8">
      <c r="A54" s="7" t="s">
        <v>71</v>
      </c>
      <c r="B54" s="9">
        <v>45916</v>
      </c>
      <c r="C54" s="9" t="b">
        <f t="shared" si="0"/>
        <v>0</v>
      </c>
      <c r="D54" s="7" t="s">
        <v>8</v>
      </c>
      <c r="E54" s="7" t="s">
        <v>9</v>
      </c>
      <c r="F54" s="7">
        <v>5</v>
      </c>
      <c r="G54" s="10">
        <v>13.61</v>
      </c>
      <c r="H54" s="7" t="s">
        <v>16</v>
      </c>
    </row>
    <row r="55" spans="1:8">
      <c r="A55" s="7" t="s">
        <v>72</v>
      </c>
      <c r="B55" s="9">
        <v>45721</v>
      </c>
      <c r="C55" s="9" t="b">
        <f t="shared" si="0"/>
        <v>0</v>
      </c>
      <c r="D55" s="7" t="s">
        <v>8</v>
      </c>
      <c r="E55" s="7" t="s">
        <v>19</v>
      </c>
      <c r="F55" s="7">
        <v>1</v>
      </c>
      <c r="G55" s="10">
        <v>9.2799999999999994</v>
      </c>
      <c r="H55" s="7" t="s">
        <v>10</v>
      </c>
    </row>
    <row r="56" spans="1:8">
      <c r="A56" s="7" t="s">
        <v>73</v>
      </c>
      <c r="B56" s="9">
        <v>45909</v>
      </c>
      <c r="C56" s="9" t="b">
        <f t="shared" si="0"/>
        <v>0</v>
      </c>
      <c r="D56" s="7" t="s">
        <v>12</v>
      </c>
      <c r="E56" s="7" t="s">
        <v>27</v>
      </c>
      <c r="F56" s="7">
        <v>31</v>
      </c>
      <c r="G56" s="10">
        <v>351.05</v>
      </c>
      <c r="H56" s="7" t="s">
        <v>33</v>
      </c>
    </row>
    <row r="57" spans="1:8">
      <c r="A57" s="7" t="s">
        <v>74</v>
      </c>
      <c r="B57" s="9">
        <v>46194</v>
      </c>
      <c r="C57" s="9" t="b">
        <f t="shared" si="0"/>
        <v>0</v>
      </c>
      <c r="D57" s="7" t="s">
        <v>12</v>
      </c>
      <c r="E57" s="7" t="s">
        <v>38</v>
      </c>
      <c r="F57" s="7">
        <v>3</v>
      </c>
      <c r="G57" s="10">
        <v>53.41</v>
      </c>
      <c r="H57" s="7" t="s">
        <v>75</v>
      </c>
    </row>
    <row r="58" spans="1:8">
      <c r="A58" s="7" t="s">
        <v>76</v>
      </c>
      <c r="B58" s="9">
        <v>45903</v>
      </c>
      <c r="C58" s="9" t="b">
        <f t="shared" si="0"/>
        <v>0</v>
      </c>
      <c r="D58" s="7" t="s">
        <v>8</v>
      </c>
      <c r="E58" s="7" t="s">
        <v>38</v>
      </c>
      <c r="F58" s="7">
        <v>7</v>
      </c>
      <c r="G58" s="10">
        <v>54.61</v>
      </c>
      <c r="H58" s="7" t="s">
        <v>10</v>
      </c>
    </row>
    <row r="59" spans="1:8">
      <c r="A59" s="7" t="s">
        <v>77</v>
      </c>
      <c r="B59" s="9">
        <v>45917</v>
      </c>
      <c r="C59" s="9" t="b">
        <f t="shared" si="0"/>
        <v>0</v>
      </c>
      <c r="D59" s="7" t="s">
        <v>12</v>
      </c>
      <c r="E59" s="7" t="s">
        <v>9</v>
      </c>
      <c r="F59" s="7"/>
      <c r="G59" s="10">
        <v>23.87</v>
      </c>
      <c r="H59" s="7" t="s">
        <v>10</v>
      </c>
    </row>
    <row r="60" spans="1:8">
      <c r="A60" s="7" t="s">
        <v>78</v>
      </c>
      <c r="B60" s="9">
        <v>46050</v>
      </c>
      <c r="C60" s="9" t="b">
        <f t="shared" si="0"/>
        <v>0</v>
      </c>
      <c r="D60" s="7" t="s">
        <v>8</v>
      </c>
      <c r="E60" s="7" t="s">
        <v>27</v>
      </c>
      <c r="F60" s="7">
        <v>6</v>
      </c>
      <c r="G60" s="10"/>
      <c r="H60" s="7" t="s">
        <v>22</v>
      </c>
    </row>
    <row r="61" spans="1:8">
      <c r="A61" s="7" t="s">
        <v>79</v>
      </c>
      <c r="B61" s="9">
        <v>45844</v>
      </c>
      <c r="C61" s="9" t="b">
        <f t="shared" si="0"/>
        <v>0</v>
      </c>
      <c r="D61" s="7" t="s">
        <v>12</v>
      </c>
      <c r="E61" s="7" t="s">
        <v>9</v>
      </c>
      <c r="F61" s="7">
        <v>4</v>
      </c>
      <c r="G61" s="10">
        <v>21.71</v>
      </c>
      <c r="H61" s="7" t="s">
        <v>16</v>
      </c>
    </row>
    <row r="62" spans="1:8">
      <c r="A62" s="7" t="s">
        <v>80</v>
      </c>
      <c r="B62" s="9">
        <v>46109</v>
      </c>
      <c r="C62" s="9" t="b">
        <f t="shared" si="0"/>
        <v>0</v>
      </c>
      <c r="D62" s="7" t="s">
        <v>12</v>
      </c>
      <c r="E62" s="7" t="s">
        <v>27</v>
      </c>
      <c r="F62" s="7">
        <v>1</v>
      </c>
      <c r="G62" s="10">
        <v>132.47999999999999</v>
      </c>
      <c r="H62" s="7" t="s">
        <v>10</v>
      </c>
    </row>
    <row r="63" spans="1:8">
      <c r="A63" s="7" t="s">
        <v>81</v>
      </c>
      <c r="B63" s="9"/>
      <c r="C63" s="9" t="b">
        <f t="shared" si="0"/>
        <v>0</v>
      </c>
      <c r="D63" s="7" t="s">
        <v>8</v>
      </c>
      <c r="E63" s="7" t="s">
        <v>13</v>
      </c>
      <c r="F63" s="7">
        <v>3</v>
      </c>
      <c r="G63" s="10">
        <v>39.08</v>
      </c>
      <c r="H63" s="7" t="s">
        <v>10</v>
      </c>
    </row>
    <row r="64" spans="1:8">
      <c r="A64" s="7" t="s">
        <v>82</v>
      </c>
      <c r="B64" s="9">
        <v>45858</v>
      </c>
      <c r="C64" s="9" t="b">
        <f t="shared" si="0"/>
        <v>0</v>
      </c>
      <c r="D64" s="7" t="s">
        <v>12</v>
      </c>
      <c r="E64" s="7" t="s">
        <v>19</v>
      </c>
      <c r="F64" s="7">
        <v>4</v>
      </c>
      <c r="G64" s="10">
        <v>7.95</v>
      </c>
      <c r="H64" s="7" t="s">
        <v>23</v>
      </c>
    </row>
    <row r="65" spans="1:8">
      <c r="A65" s="7" t="s">
        <v>83</v>
      </c>
      <c r="B65" s="9">
        <v>45731</v>
      </c>
      <c r="C65" s="9" t="b">
        <f t="shared" si="0"/>
        <v>0</v>
      </c>
      <c r="D65" s="7"/>
      <c r="E65" s="7" t="s">
        <v>19</v>
      </c>
      <c r="F65" s="7">
        <v>5</v>
      </c>
      <c r="G65" s="10">
        <v>5.58</v>
      </c>
      <c r="H65" s="7" t="s">
        <v>16</v>
      </c>
    </row>
    <row r="66" spans="1:8">
      <c r="A66" s="7" t="s">
        <v>84</v>
      </c>
      <c r="B66" s="9">
        <v>46029</v>
      </c>
      <c r="C66" s="9" t="b">
        <f t="shared" si="0"/>
        <v>0</v>
      </c>
      <c r="D66" s="7" t="s">
        <v>8</v>
      </c>
      <c r="E66" s="7"/>
      <c r="F66" s="7">
        <v>3</v>
      </c>
      <c r="G66" s="10">
        <v>16.579999999999998</v>
      </c>
      <c r="H66" s="7" t="s">
        <v>16</v>
      </c>
    </row>
    <row r="67" spans="1:8">
      <c r="A67" s="7" t="s">
        <v>85</v>
      </c>
      <c r="B67" s="9">
        <v>46033</v>
      </c>
      <c r="C67" s="9" t="b">
        <f t="shared" ref="C67:C130" si="1">OR(LEFT(H67,1)=" ", RIGHT(H67,1)=" ")</f>
        <v>0</v>
      </c>
      <c r="D67" s="7" t="s">
        <v>8</v>
      </c>
      <c r="E67" s="7" t="s">
        <v>9</v>
      </c>
      <c r="F67" s="7">
        <v>7</v>
      </c>
      <c r="G67" s="10">
        <v>20</v>
      </c>
      <c r="H67" s="7" t="s">
        <v>23</v>
      </c>
    </row>
    <row r="68" spans="1:8">
      <c r="A68" s="7" t="s">
        <v>86</v>
      </c>
      <c r="B68" s="9">
        <v>46061</v>
      </c>
      <c r="C68" s="9" t="b">
        <f t="shared" si="1"/>
        <v>0</v>
      </c>
      <c r="D68" s="7" t="s">
        <v>8</v>
      </c>
      <c r="E68" s="7" t="s">
        <v>38</v>
      </c>
      <c r="F68" s="7">
        <v>3</v>
      </c>
      <c r="G68" s="10">
        <v>128.13999999999999</v>
      </c>
      <c r="H68" s="7" t="s">
        <v>10</v>
      </c>
    </row>
    <row r="69" spans="1:8">
      <c r="A69" s="7" t="s">
        <v>87</v>
      </c>
      <c r="B69" s="9">
        <v>45870</v>
      </c>
      <c r="C69" s="9" t="b">
        <f t="shared" si="1"/>
        <v>0</v>
      </c>
      <c r="D69" s="7" t="s">
        <v>12</v>
      </c>
      <c r="E69" s="7" t="s">
        <v>27</v>
      </c>
      <c r="F69" s="7"/>
      <c r="G69" s="10">
        <v>144.02000000000001</v>
      </c>
      <c r="H69" s="7" t="s">
        <v>10</v>
      </c>
    </row>
    <row r="70" spans="1:8">
      <c r="A70" s="7" t="s">
        <v>88</v>
      </c>
      <c r="B70" s="9">
        <v>45706</v>
      </c>
      <c r="C70" s="9" t="b">
        <f t="shared" si="1"/>
        <v>0</v>
      </c>
      <c r="D70" s="7" t="s">
        <v>12</v>
      </c>
      <c r="E70" s="7" t="s">
        <v>13</v>
      </c>
      <c r="F70" s="7">
        <v>6</v>
      </c>
      <c r="G70" s="10">
        <v>34.22</v>
      </c>
      <c r="H70" s="7" t="s">
        <v>51</v>
      </c>
    </row>
    <row r="71" spans="1:8">
      <c r="A71" s="7" t="s">
        <v>89</v>
      </c>
      <c r="B71" s="9">
        <v>46083</v>
      </c>
      <c r="C71" s="9" t="b">
        <f t="shared" si="1"/>
        <v>0</v>
      </c>
      <c r="D71" s="7" t="s">
        <v>12</v>
      </c>
      <c r="E71" s="7" t="s">
        <v>13</v>
      </c>
      <c r="F71" s="7">
        <v>7</v>
      </c>
      <c r="G71" s="10">
        <v>28.52</v>
      </c>
      <c r="H71" s="7" t="s">
        <v>10</v>
      </c>
    </row>
    <row r="72" spans="1:8">
      <c r="A72" s="7" t="s">
        <v>90</v>
      </c>
      <c r="B72" s="9"/>
      <c r="C72" s="9" t="b">
        <f t="shared" si="1"/>
        <v>0</v>
      </c>
      <c r="D72" s="7" t="s">
        <v>12</v>
      </c>
      <c r="E72" s="7" t="s">
        <v>13</v>
      </c>
      <c r="F72" s="7">
        <v>4</v>
      </c>
      <c r="G72" s="10">
        <v>47.56</v>
      </c>
      <c r="H72" s="7" t="s">
        <v>10</v>
      </c>
    </row>
    <row r="73" spans="1:8">
      <c r="A73" s="7" t="s">
        <v>91</v>
      </c>
      <c r="B73" s="9">
        <v>45658</v>
      </c>
      <c r="C73" s="9" t="b">
        <f t="shared" si="1"/>
        <v>0</v>
      </c>
      <c r="D73" s="7" t="s">
        <v>12</v>
      </c>
      <c r="E73" s="7" t="s">
        <v>19</v>
      </c>
      <c r="F73" s="7">
        <v>5</v>
      </c>
      <c r="G73" s="10">
        <v>10.63</v>
      </c>
      <c r="H73" s="7" t="s">
        <v>14</v>
      </c>
    </row>
    <row r="74" spans="1:8">
      <c r="A74" s="7" t="s">
        <v>92</v>
      </c>
      <c r="B74" s="9">
        <v>46035</v>
      </c>
      <c r="C74" s="9" t="b">
        <f t="shared" si="1"/>
        <v>0</v>
      </c>
      <c r="D74" s="7" t="s">
        <v>8</v>
      </c>
      <c r="E74" s="7" t="s">
        <v>9</v>
      </c>
      <c r="F74" s="7">
        <v>4</v>
      </c>
      <c r="G74" s="10">
        <v>21.02</v>
      </c>
      <c r="H74" s="7" t="s">
        <v>23</v>
      </c>
    </row>
    <row r="75" spans="1:8">
      <c r="A75" s="7" t="s">
        <v>93</v>
      </c>
      <c r="B75" s="9"/>
      <c r="C75" s="9" t="b">
        <f t="shared" si="1"/>
        <v>0</v>
      </c>
      <c r="D75" s="7" t="s">
        <v>12</v>
      </c>
      <c r="E75" s="7" t="s">
        <v>27</v>
      </c>
      <c r="F75" s="7">
        <v>3</v>
      </c>
      <c r="G75" s="10">
        <v>259.64999999999998</v>
      </c>
      <c r="H75" s="7" t="s">
        <v>16</v>
      </c>
    </row>
    <row r="76" spans="1:8">
      <c r="A76" s="7" t="s">
        <v>94</v>
      </c>
      <c r="B76" s="9">
        <v>45761</v>
      </c>
      <c r="C76" s="9" t="b">
        <f t="shared" si="1"/>
        <v>0</v>
      </c>
      <c r="D76" s="7" t="s">
        <v>8</v>
      </c>
      <c r="E76" s="7" t="s">
        <v>27</v>
      </c>
      <c r="F76" s="7">
        <v>5</v>
      </c>
      <c r="G76" s="10" t="s">
        <v>95</v>
      </c>
      <c r="H76" s="7" t="s">
        <v>33</v>
      </c>
    </row>
    <row r="77" spans="1:8">
      <c r="A77" s="7" t="s">
        <v>96</v>
      </c>
      <c r="B77" s="9">
        <v>45683</v>
      </c>
      <c r="C77" s="9" t="b">
        <f t="shared" si="1"/>
        <v>0</v>
      </c>
      <c r="D77" s="7" t="s">
        <v>8</v>
      </c>
      <c r="E77" s="7" t="s">
        <v>19</v>
      </c>
      <c r="F77" s="7">
        <v>2</v>
      </c>
      <c r="G77" s="10"/>
      <c r="H77" s="7" t="s">
        <v>10</v>
      </c>
    </row>
    <row r="78" spans="1:8">
      <c r="A78" s="7" t="s">
        <v>97</v>
      </c>
      <c r="B78" s="9">
        <v>45754</v>
      </c>
      <c r="C78" s="9" t="b">
        <f t="shared" si="1"/>
        <v>0</v>
      </c>
      <c r="D78" s="7" t="s">
        <v>12</v>
      </c>
      <c r="E78" s="7" t="s">
        <v>19</v>
      </c>
      <c r="F78" s="7">
        <v>5</v>
      </c>
      <c r="G78" s="10">
        <v>6.36</v>
      </c>
      <c r="H78" s="7" t="s">
        <v>33</v>
      </c>
    </row>
    <row r="79" spans="1:8">
      <c r="A79" s="7" t="s">
        <v>98</v>
      </c>
      <c r="B79" s="9">
        <v>45794</v>
      </c>
      <c r="C79" s="9" t="b">
        <f t="shared" si="1"/>
        <v>0</v>
      </c>
      <c r="D79" s="7" t="s">
        <v>12</v>
      </c>
      <c r="E79" s="7" t="s">
        <v>9</v>
      </c>
      <c r="F79" s="7">
        <v>4</v>
      </c>
      <c r="G79" s="10">
        <v>19.059999999999999</v>
      </c>
      <c r="H79" s="7" t="s">
        <v>10</v>
      </c>
    </row>
    <row r="80" spans="1:8">
      <c r="A80" s="7"/>
      <c r="B80" s="9">
        <v>45690</v>
      </c>
      <c r="C80" s="9" t="b">
        <f t="shared" si="1"/>
        <v>0</v>
      </c>
      <c r="D80" s="7" t="s">
        <v>12</v>
      </c>
      <c r="E80" s="7" t="s">
        <v>27</v>
      </c>
      <c r="F80" s="7">
        <v>8</v>
      </c>
      <c r="G80" s="10">
        <v>210</v>
      </c>
      <c r="H80" s="7" t="s">
        <v>10</v>
      </c>
    </row>
    <row r="81" spans="1:8">
      <c r="A81" s="7" t="s">
        <v>99</v>
      </c>
      <c r="B81" s="9">
        <v>45872</v>
      </c>
      <c r="C81" s="9" t="b">
        <f t="shared" si="1"/>
        <v>0</v>
      </c>
      <c r="D81" s="7" t="s">
        <v>8</v>
      </c>
      <c r="E81" s="7"/>
      <c r="F81" s="7">
        <v>6</v>
      </c>
      <c r="G81" s="10">
        <v>10.79</v>
      </c>
      <c r="H81" s="7" t="s">
        <v>100</v>
      </c>
    </row>
    <row r="82" spans="1:8">
      <c r="A82" s="7" t="s">
        <v>101</v>
      </c>
      <c r="B82" s="9">
        <v>45806</v>
      </c>
      <c r="C82" s="9" t="b">
        <f t="shared" si="1"/>
        <v>0</v>
      </c>
      <c r="D82" s="7" t="s">
        <v>8</v>
      </c>
      <c r="E82" s="7"/>
      <c r="F82" s="7">
        <v>4</v>
      </c>
      <c r="G82" s="10">
        <v>60.52</v>
      </c>
      <c r="H82" s="7" t="s">
        <v>33</v>
      </c>
    </row>
    <row r="83" spans="1:8">
      <c r="A83" s="7"/>
      <c r="B83" s="9">
        <v>46188</v>
      </c>
      <c r="C83" s="9" t="b">
        <f t="shared" si="1"/>
        <v>0</v>
      </c>
      <c r="D83" s="7" t="s">
        <v>12</v>
      </c>
      <c r="E83" s="7" t="s">
        <v>13</v>
      </c>
      <c r="F83" s="7">
        <v>1</v>
      </c>
      <c r="G83" s="10">
        <v>45.21</v>
      </c>
      <c r="H83" s="7" t="s">
        <v>33</v>
      </c>
    </row>
    <row r="84" spans="1:8">
      <c r="A84" s="7" t="s">
        <v>102</v>
      </c>
      <c r="B84" s="9">
        <v>45815</v>
      </c>
      <c r="C84" s="9" t="b">
        <f t="shared" si="1"/>
        <v>0</v>
      </c>
      <c r="D84" s="7"/>
      <c r="E84" s="7" t="s">
        <v>19</v>
      </c>
      <c r="F84" s="7">
        <v>3</v>
      </c>
      <c r="G84" s="10"/>
      <c r="H84" s="7" t="s">
        <v>10</v>
      </c>
    </row>
    <row r="85" spans="1:8">
      <c r="A85" s="7" t="s">
        <v>103</v>
      </c>
      <c r="B85" s="9">
        <v>45697</v>
      </c>
      <c r="C85" s="9" t="b">
        <f t="shared" si="1"/>
        <v>0</v>
      </c>
      <c r="D85" s="7" t="s">
        <v>12</v>
      </c>
      <c r="E85" s="7" t="s">
        <v>27</v>
      </c>
      <c r="F85" s="7">
        <v>2</v>
      </c>
      <c r="G85" s="10">
        <v>206.18</v>
      </c>
      <c r="H85" s="7" t="s">
        <v>14</v>
      </c>
    </row>
    <row r="86" spans="1:8">
      <c r="A86" s="7" t="s">
        <v>104</v>
      </c>
      <c r="B86" s="9">
        <v>46078</v>
      </c>
      <c r="C86" s="9" t="b">
        <f t="shared" si="1"/>
        <v>0</v>
      </c>
      <c r="D86" s="7" t="s">
        <v>12</v>
      </c>
      <c r="E86" s="7" t="s">
        <v>9</v>
      </c>
      <c r="F86" s="7">
        <v>8</v>
      </c>
      <c r="G86" s="10">
        <v>12.24</v>
      </c>
      <c r="H86" s="7" t="s">
        <v>23</v>
      </c>
    </row>
    <row r="87" spans="1:8">
      <c r="A87" s="7" t="s">
        <v>105</v>
      </c>
      <c r="B87" s="9">
        <v>45673</v>
      </c>
      <c r="C87" s="9" t="b">
        <f t="shared" si="1"/>
        <v>0</v>
      </c>
      <c r="D87" s="7" t="s">
        <v>12</v>
      </c>
      <c r="E87" s="7" t="s">
        <v>9</v>
      </c>
      <c r="F87" s="7">
        <v>8</v>
      </c>
      <c r="G87" s="10">
        <v>18.09</v>
      </c>
      <c r="H87" s="7" t="s">
        <v>33</v>
      </c>
    </row>
    <row r="88" spans="1:8">
      <c r="A88" s="7" t="s">
        <v>106</v>
      </c>
      <c r="B88" s="9">
        <v>45892</v>
      </c>
      <c r="C88" s="9" t="b">
        <f t="shared" si="1"/>
        <v>0</v>
      </c>
      <c r="D88" s="7" t="s">
        <v>8</v>
      </c>
      <c r="E88" s="7" t="s">
        <v>9</v>
      </c>
      <c r="F88" s="7">
        <v>8</v>
      </c>
      <c r="G88" s="10">
        <v>25.74</v>
      </c>
      <c r="H88" s="7" t="s">
        <v>10</v>
      </c>
    </row>
    <row r="89" spans="1:8">
      <c r="A89" s="7"/>
      <c r="B89" s="9">
        <v>46088</v>
      </c>
      <c r="C89" s="9" t="b">
        <f t="shared" si="1"/>
        <v>0</v>
      </c>
      <c r="D89" s="7" t="s">
        <v>12</v>
      </c>
      <c r="E89" s="7" t="s">
        <v>9</v>
      </c>
      <c r="F89" s="7">
        <v>4</v>
      </c>
      <c r="G89" s="10">
        <v>12.05</v>
      </c>
      <c r="H89" s="7" t="s">
        <v>16</v>
      </c>
    </row>
    <row r="90" spans="1:8">
      <c r="A90" s="7" t="s">
        <v>107</v>
      </c>
      <c r="B90" s="9">
        <v>45946</v>
      </c>
      <c r="C90" s="9" t="b">
        <f t="shared" si="1"/>
        <v>0</v>
      </c>
      <c r="D90" s="7" t="s">
        <v>12</v>
      </c>
      <c r="E90" s="7" t="s">
        <v>9</v>
      </c>
      <c r="F90" s="7">
        <v>4</v>
      </c>
      <c r="G90" s="10">
        <v>23.96</v>
      </c>
      <c r="H90" s="7" t="s">
        <v>10</v>
      </c>
    </row>
    <row r="91" spans="1:8">
      <c r="A91" s="7" t="s">
        <v>108</v>
      </c>
      <c r="B91" s="9">
        <v>45740</v>
      </c>
      <c r="C91" s="9" t="b">
        <f t="shared" si="1"/>
        <v>0</v>
      </c>
      <c r="D91" s="7" t="s">
        <v>8</v>
      </c>
      <c r="E91" s="7" t="s">
        <v>38</v>
      </c>
      <c r="F91" s="7">
        <v>1</v>
      </c>
      <c r="G91" s="10">
        <v>60.98</v>
      </c>
      <c r="H91" s="7" t="s">
        <v>10</v>
      </c>
    </row>
    <row r="92" spans="1:8">
      <c r="A92" s="7" t="s">
        <v>109</v>
      </c>
      <c r="B92" s="9">
        <v>45839</v>
      </c>
      <c r="C92" s="9" t="b">
        <f t="shared" si="1"/>
        <v>0</v>
      </c>
      <c r="D92" s="7" t="s">
        <v>8</v>
      </c>
      <c r="E92" s="7" t="s">
        <v>9</v>
      </c>
      <c r="F92" s="7">
        <v>8</v>
      </c>
      <c r="G92" s="10">
        <v>28.43</v>
      </c>
      <c r="H92" s="7" t="s">
        <v>51</v>
      </c>
    </row>
    <row r="93" spans="1:8">
      <c r="A93" s="7" t="s">
        <v>110</v>
      </c>
      <c r="B93" s="9">
        <v>45973</v>
      </c>
      <c r="C93" s="9" t="b">
        <f t="shared" si="1"/>
        <v>0</v>
      </c>
      <c r="D93" s="7" t="s">
        <v>12</v>
      </c>
      <c r="E93" s="7" t="s">
        <v>38</v>
      </c>
      <c r="F93" s="7">
        <v>5</v>
      </c>
      <c r="G93" s="10">
        <v>95.46</v>
      </c>
      <c r="H93" s="7" t="s">
        <v>10</v>
      </c>
    </row>
    <row r="94" spans="1:8">
      <c r="A94" s="7" t="s">
        <v>111</v>
      </c>
      <c r="B94" s="9">
        <v>45814</v>
      </c>
      <c r="C94" s="9" t="b">
        <f t="shared" si="1"/>
        <v>0</v>
      </c>
      <c r="D94" s="7" t="s">
        <v>8</v>
      </c>
      <c r="E94" s="7" t="s">
        <v>27</v>
      </c>
      <c r="F94" s="7">
        <v>1</v>
      </c>
      <c r="G94" s="10">
        <v>193.89</v>
      </c>
      <c r="H94" s="7" t="s">
        <v>14</v>
      </c>
    </row>
    <row r="95" spans="1:8">
      <c r="A95" s="7" t="s">
        <v>112</v>
      </c>
      <c r="B95" s="9">
        <v>46111</v>
      </c>
      <c r="C95" s="9" t="b">
        <f t="shared" si="1"/>
        <v>0</v>
      </c>
      <c r="D95" s="7" t="s">
        <v>8</v>
      </c>
      <c r="E95" s="7"/>
      <c r="F95" s="7">
        <v>6</v>
      </c>
      <c r="G95" s="10">
        <v>19.32</v>
      </c>
      <c r="H95" s="7" t="s">
        <v>51</v>
      </c>
    </row>
    <row r="96" spans="1:8">
      <c r="A96" s="7" t="s">
        <v>113</v>
      </c>
      <c r="B96" s="9">
        <v>46230</v>
      </c>
      <c r="C96" s="9" t="b">
        <f t="shared" si="1"/>
        <v>0</v>
      </c>
      <c r="D96" s="7" t="s">
        <v>8</v>
      </c>
      <c r="E96" s="7"/>
      <c r="F96" s="7">
        <v>3</v>
      </c>
      <c r="G96" s="10">
        <v>138.38999999999999</v>
      </c>
      <c r="H96" s="7" t="s">
        <v>33</v>
      </c>
    </row>
    <row r="97" spans="1:8">
      <c r="A97" s="7" t="s">
        <v>114</v>
      </c>
      <c r="B97" s="9">
        <v>46018</v>
      </c>
      <c r="C97" s="9" t="b">
        <f t="shared" si="1"/>
        <v>0</v>
      </c>
      <c r="D97" s="7" t="s">
        <v>12</v>
      </c>
      <c r="E97" s="7" t="s">
        <v>19</v>
      </c>
      <c r="F97" s="7">
        <v>3</v>
      </c>
      <c r="G97" s="10">
        <v>6.17</v>
      </c>
      <c r="H97" s="7" t="s">
        <v>14</v>
      </c>
    </row>
    <row r="98" spans="1:8">
      <c r="A98" s="7" t="s">
        <v>115</v>
      </c>
      <c r="B98" s="9">
        <v>46084</v>
      </c>
      <c r="C98" s="9" t="b">
        <f t="shared" si="1"/>
        <v>0</v>
      </c>
      <c r="D98" s="7" t="s">
        <v>8</v>
      </c>
      <c r="E98" s="7" t="s">
        <v>9</v>
      </c>
      <c r="F98" s="7">
        <v>1</v>
      </c>
      <c r="G98" s="10"/>
      <c r="H98" s="7" t="s">
        <v>10</v>
      </c>
    </row>
    <row r="99" spans="1:8">
      <c r="A99" s="7" t="s">
        <v>116</v>
      </c>
      <c r="B99" s="9">
        <v>45953</v>
      </c>
      <c r="C99" s="9" t="b">
        <f t="shared" si="1"/>
        <v>0</v>
      </c>
      <c r="D99" s="7" t="s">
        <v>8</v>
      </c>
      <c r="E99" s="7" t="s">
        <v>9</v>
      </c>
      <c r="F99" s="7">
        <v>6</v>
      </c>
      <c r="G99" s="10">
        <v>25.06</v>
      </c>
      <c r="H99" s="7" t="s">
        <v>51</v>
      </c>
    </row>
    <row r="100" spans="1:8">
      <c r="A100" s="7" t="s">
        <v>117</v>
      </c>
      <c r="B100" s="9">
        <v>46135</v>
      </c>
      <c r="C100" s="9" t="b">
        <f t="shared" si="1"/>
        <v>0</v>
      </c>
      <c r="D100" s="7" t="s">
        <v>12</v>
      </c>
      <c r="E100" s="7" t="s">
        <v>13</v>
      </c>
      <c r="F100" s="7">
        <v>5</v>
      </c>
      <c r="G100" s="10">
        <v>68.87</v>
      </c>
      <c r="H100" s="7" t="s">
        <v>10</v>
      </c>
    </row>
    <row r="101" spans="1:8">
      <c r="A101" s="7" t="s">
        <v>118</v>
      </c>
      <c r="B101" s="9">
        <v>46111</v>
      </c>
      <c r="C101" s="9" t="b">
        <f t="shared" si="1"/>
        <v>0</v>
      </c>
      <c r="D101" s="7" t="s">
        <v>12</v>
      </c>
      <c r="E101" s="7" t="s">
        <v>27</v>
      </c>
      <c r="F101" s="7">
        <v>8</v>
      </c>
      <c r="G101" s="10"/>
      <c r="H101" s="7" t="s">
        <v>16</v>
      </c>
    </row>
    <row r="102" spans="1:8">
      <c r="A102" s="7" t="s">
        <v>119</v>
      </c>
      <c r="B102" s="9"/>
      <c r="C102" s="9" t="b">
        <f t="shared" si="1"/>
        <v>0</v>
      </c>
      <c r="D102" s="7" t="s">
        <v>12</v>
      </c>
      <c r="E102" s="7" t="s">
        <v>13</v>
      </c>
      <c r="F102" s="7">
        <v>4</v>
      </c>
      <c r="G102" s="10">
        <v>61.48</v>
      </c>
      <c r="H102" s="7" t="s">
        <v>10</v>
      </c>
    </row>
    <row r="103" spans="1:8">
      <c r="A103" s="7" t="s">
        <v>120</v>
      </c>
      <c r="B103" s="9">
        <v>46012</v>
      </c>
      <c r="C103" s="9" t="b">
        <f t="shared" si="1"/>
        <v>0</v>
      </c>
      <c r="D103" s="7" t="s">
        <v>8</v>
      </c>
      <c r="E103" s="7"/>
      <c r="F103" s="7" t="s">
        <v>22</v>
      </c>
      <c r="G103" s="10">
        <v>50.49</v>
      </c>
      <c r="H103" s="7" t="s">
        <v>33</v>
      </c>
    </row>
    <row r="104" spans="1:8">
      <c r="A104" s="7" t="s">
        <v>121</v>
      </c>
      <c r="B104" s="9">
        <v>45983</v>
      </c>
      <c r="C104" s="9" t="b">
        <f t="shared" si="1"/>
        <v>0</v>
      </c>
      <c r="D104" s="7" t="s">
        <v>8</v>
      </c>
      <c r="E104" s="7" t="s">
        <v>9</v>
      </c>
      <c r="F104" s="7">
        <v>8</v>
      </c>
      <c r="G104" s="10">
        <v>20.79</v>
      </c>
      <c r="H104" s="7" t="s">
        <v>10</v>
      </c>
    </row>
    <row r="105" spans="1:8">
      <c r="A105" s="7" t="s">
        <v>122</v>
      </c>
      <c r="B105" s="9">
        <v>45802</v>
      </c>
      <c r="C105" s="9" t="b">
        <f t="shared" si="1"/>
        <v>0</v>
      </c>
      <c r="D105" s="7"/>
      <c r="E105" s="7" t="s">
        <v>9</v>
      </c>
      <c r="F105" s="7">
        <v>1</v>
      </c>
      <c r="G105" s="10">
        <v>21.37</v>
      </c>
      <c r="H105" s="7" t="s">
        <v>10</v>
      </c>
    </row>
    <row r="106" spans="1:8">
      <c r="A106" s="7" t="s">
        <v>123</v>
      </c>
      <c r="B106" s="9">
        <v>46233</v>
      </c>
      <c r="C106" s="9" t="b">
        <f t="shared" si="1"/>
        <v>0</v>
      </c>
      <c r="D106" s="7" t="s">
        <v>12</v>
      </c>
      <c r="E106" s="7" t="s">
        <v>27</v>
      </c>
      <c r="F106" s="7">
        <v>8</v>
      </c>
      <c r="G106" s="10">
        <v>166.03</v>
      </c>
      <c r="H106" s="7" t="s">
        <v>10</v>
      </c>
    </row>
    <row r="107" spans="1:8">
      <c r="A107" s="7" t="s">
        <v>124</v>
      </c>
      <c r="B107" s="9">
        <v>46005</v>
      </c>
      <c r="C107" s="9" t="b">
        <f t="shared" si="1"/>
        <v>0</v>
      </c>
      <c r="D107" s="7" t="s">
        <v>12</v>
      </c>
      <c r="E107" s="7" t="s">
        <v>27</v>
      </c>
      <c r="F107" s="7" t="s">
        <v>22</v>
      </c>
      <c r="G107" s="10">
        <v>182</v>
      </c>
      <c r="H107" s="7" t="s">
        <v>14</v>
      </c>
    </row>
    <row r="108" spans="1:8">
      <c r="A108" s="7" t="s">
        <v>125</v>
      </c>
      <c r="B108" s="9">
        <v>45892</v>
      </c>
      <c r="C108" s="9" t="b">
        <f t="shared" si="1"/>
        <v>0</v>
      </c>
      <c r="D108" s="7" t="s">
        <v>12</v>
      </c>
      <c r="E108" s="7" t="s">
        <v>9</v>
      </c>
      <c r="F108" s="7">
        <v>1</v>
      </c>
      <c r="G108" s="10">
        <v>10.73</v>
      </c>
      <c r="H108" s="7" t="s">
        <v>10</v>
      </c>
    </row>
    <row r="109" spans="1:8">
      <c r="A109" s="7" t="s">
        <v>126</v>
      </c>
      <c r="B109" s="9">
        <v>45683</v>
      </c>
      <c r="C109" s="9" t="b">
        <f t="shared" si="1"/>
        <v>0</v>
      </c>
      <c r="D109" s="7" t="s">
        <v>12</v>
      </c>
      <c r="E109" s="7" t="s">
        <v>13</v>
      </c>
      <c r="F109" s="7">
        <v>5</v>
      </c>
      <c r="G109" s="10">
        <v>42.76</v>
      </c>
      <c r="H109" s="7" t="s">
        <v>10</v>
      </c>
    </row>
    <row r="110" spans="1:8">
      <c r="A110" s="7" t="s">
        <v>127</v>
      </c>
      <c r="B110" s="9">
        <v>46166</v>
      </c>
      <c r="C110" s="9" t="b">
        <f t="shared" si="1"/>
        <v>0</v>
      </c>
      <c r="D110" s="7" t="s">
        <v>12</v>
      </c>
      <c r="E110" s="7" t="s">
        <v>13</v>
      </c>
      <c r="F110" s="7">
        <v>1</v>
      </c>
      <c r="G110" s="10">
        <v>46.34</v>
      </c>
      <c r="H110" s="7" t="s">
        <v>51</v>
      </c>
    </row>
    <row r="111" spans="1:8">
      <c r="A111" s="7" t="s">
        <v>128</v>
      </c>
      <c r="B111" s="9">
        <v>46046</v>
      </c>
      <c r="C111" s="9" t="b">
        <f t="shared" si="1"/>
        <v>0</v>
      </c>
      <c r="D111" s="7" t="s">
        <v>12</v>
      </c>
      <c r="E111" s="7" t="s">
        <v>38</v>
      </c>
      <c r="F111" s="7">
        <v>4</v>
      </c>
      <c r="G111" s="10">
        <v>126.55</v>
      </c>
      <c r="H111" s="7"/>
    </row>
    <row r="112" spans="1:8">
      <c r="A112" s="7" t="s">
        <v>129</v>
      </c>
      <c r="B112" s="9">
        <v>45678</v>
      </c>
      <c r="C112" s="9" t="b">
        <f t="shared" si="1"/>
        <v>0</v>
      </c>
      <c r="D112" s="7" t="s">
        <v>8</v>
      </c>
      <c r="E112" s="7" t="s">
        <v>9</v>
      </c>
      <c r="F112" s="7">
        <v>6</v>
      </c>
      <c r="G112" s="10">
        <v>28.43</v>
      </c>
      <c r="H112" s="7" t="s">
        <v>10</v>
      </c>
    </row>
    <row r="113" spans="1:8">
      <c r="A113" s="7" t="s">
        <v>130</v>
      </c>
      <c r="B113" s="9">
        <v>45852</v>
      </c>
      <c r="C113" s="9" t="b">
        <f t="shared" si="1"/>
        <v>0</v>
      </c>
      <c r="D113" s="7" t="s">
        <v>8</v>
      </c>
      <c r="E113" s="7" t="s">
        <v>13</v>
      </c>
      <c r="F113" s="7">
        <v>8</v>
      </c>
      <c r="G113" s="10">
        <v>50.43</v>
      </c>
      <c r="H113" s="7" t="s">
        <v>10</v>
      </c>
    </row>
    <row r="114" spans="1:8">
      <c r="A114" s="7" t="s">
        <v>131</v>
      </c>
      <c r="B114" s="9">
        <v>45737</v>
      </c>
      <c r="C114" s="9" t="b">
        <f t="shared" si="1"/>
        <v>0</v>
      </c>
      <c r="D114" s="7" t="s">
        <v>8</v>
      </c>
      <c r="E114" s="7" t="s">
        <v>13</v>
      </c>
      <c r="F114" s="7">
        <v>5</v>
      </c>
      <c r="G114" s="10">
        <v>57.14</v>
      </c>
      <c r="H114" s="7" t="s">
        <v>10</v>
      </c>
    </row>
    <row r="115" spans="1:8">
      <c r="A115" s="7" t="s">
        <v>132</v>
      </c>
      <c r="B115" s="9">
        <v>45812</v>
      </c>
      <c r="C115" s="9" t="b">
        <f t="shared" si="1"/>
        <v>0</v>
      </c>
      <c r="D115" s="7" t="s">
        <v>12</v>
      </c>
      <c r="E115" s="7" t="s">
        <v>38</v>
      </c>
      <c r="F115" s="7"/>
      <c r="G115" s="10">
        <v>113.25</v>
      </c>
      <c r="H115" s="7" t="s">
        <v>10</v>
      </c>
    </row>
    <row r="116" spans="1:8">
      <c r="A116" s="7" t="s">
        <v>133</v>
      </c>
      <c r="B116" s="9">
        <v>45704</v>
      </c>
      <c r="C116" s="9" t="b">
        <f t="shared" si="1"/>
        <v>0</v>
      </c>
      <c r="D116" s="7" t="s">
        <v>12</v>
      </c>
      <c r="E116" s="7" t="s">
        <v>38</v>
      </c>
      <c r="F116" s="7">
        <v>4</v>
      </c>
      <c r="G116" s="10">
        <v>70.97</v>
      </c>
      <c r="H116" s="7" t="s">
        <v>23</v>
      </c>
    </row>
    <row r="117" spans="1:8">
      <c r="A117" s="7" t="s">
        <v>134</v>
      </c>
      <c r="B117" s="9">
        <v>45842</v>
      </c>
      <c r="C117" s="9" t="b">
        <f t="shared" si="1"/>
        <v>0</v>
      </c>
      <c r="D117" s="7" t="s">
        <v>135</v>
      </c>
      <c r="E117" s="7" t="s">
        <v>9</v>
      </c>
      <c r="F117" s="7">
        <v>6</v>
      </c>
      <c r="G117" s="10">
        <v>15.84</v>
      </c>
      <c r="H117" s="7" t="s">
        <v>14</v>
      </c>
    </row>
    <row r="118" spans="1:8">
      <c r="A118" s="7" t="s">
        <v>136</v>
      </c>
      <c r="B118" s="9"/>
      <c r="C118" s="9" t="b">
        <f t="shared" si="1"/>
        <v>0</v>
      </c>
      <c r="D118" s="7" t="s">
        <v>12</v>
      </c>
      <c r="E118" s="7" t="s">
        <v>13</v>
      </c>
      <c r="F118" s="7">
        <v>6</v>
      </c>
      <c r="G118" s="10">
        <v>43.97</v>
      </c>
      <c r="H118" s="7" t="s">
        <v>51</v>
      </c>
    </row>
    <row r="119" spans="1:8">
      <c r="A119" s="7" t="s">
        <v>137</v>
      </c>
      <c r="B119" s="9">
        <v>45854</v>
      </c>
      <c r="C119" s="9" t="b">
        <f t="shared" si="1"/>
        <v>0</v>
      </c>
      <c r="D119" s="7" t="s">
        <v>12</v>
      </c>
      <c r="E119" s="7" t="s">
        <v>27</v>
      </c>
      <c r="F119" s="7">
        <v>3</v>
      </c>
      <c r="G119" s="10">
        <v>318.94</v>
      </c>
      <c r="H119" s="7" t="s">
        <v>14</v>
      </c>
    </row>
    <row r="120" spans="1:8">
      <c r="A120" s="7" t="s">
        <v>138</v>
      </c>
      <c r="B120" s="9">
        <v>45747</v>
      </c>
      <c r="C120" s="9" t="b">
        <f t="shared" si="1"/>
        <v>0</v>
      </c>
      <c r="D120" s="7" t="s">
        <v>12</v>
      </c>
      <c r="E120" s="7" t="s">
        <v>13</v>
      </c>
      <c r="F120" s="7">
        <v>5</v>
      </c>
      <c r="G120" s="10">
        <v>45.89</v>
      </c>
      <c r="H120" s="7" t="s">
        <v>10</v>
      </c>
    </row>
    <row r="121" spans="1:8">
      <c r="A121" s="7" t="s">
        <v>139</v>
      </c>
      <c r="B121" s="9">
        <v>46141</v>
      </c>
      <c r="C121" s="9" t="b">
        <f t="shared" si="1"/>
        <v>0</v>
      </c>
      <c r="D121" s="7" t="s">
        <v>8</v>
      </c>
      <c r="E121" s="7" t="s">
        <v>13</v>
      </c>
      <c r="F121" s="7">
        <v>8</v>
      </c>
      <c r="G121" s="10">
        <v>60.52</v>
      </c>
      <c r="H121" s="7" t="s">
        <v>10</v>
      </c>
    </row>
    <row r="122" spans="1:8">
      <c r="A122" s="7" t="s">
        <v>140</v>
      </c>
      <c r="B122" s="9">
        <v>46085</v>
      </c>
      <c r="C122" s="9" t="b">
        <f t="shared" si="1"/>
        <v>0</v>
      </c>
      <c r="D122" s="7" t="s">
        <v>8</v>
      </c>
      <c r="E122" s="7" t="s">
        <v>27</v>
      </c>
      <c r="F122" s="7">
        <v>8</v>
      </c>
      <c r="G122" s="10">
        <v>272.25</v>
      </c>
      <c r="H122" s="7"/>
    </row>
    <row r="123" spans="1:8">
      <c r="A123" s="7" t="s">
        <v>141</v>
      </c>
      <c r="B123" s="9">
        <v>46007</v>
      </c>
      <c r="C123" s="9" t="b">
        <f t="shared" si="1"/>
        <v>0</v>
      </c>
      <c r="D123" s="7" t="s">
        <v>8</v>
      </c>
      <c r="E123" s="7" t="s">
        <v>9</v>
      </c>
      <c r="F123" s="7">
        <v>6</v>
      </c>
      <c r="G123" s="10">
        <v>26.64</v>
      </c>
      <c r="H123" s="7" t="s">
        <v>33</v>
      </c>
    </row>
    <row r="124" spans="1:8">
      <c r="A124" s="7" t="s">
        <v>142</v>
      </c>
      <c r="B124" s="9">
        <v>45761</v>
      </c>
      <c r="C124" s="9" t="b">
        <f t="shared" si="1"/>
        <v>0</v>
      </c>
      <c r="D124" s="7"/>
      <c r="E124" s="7" t="s">
        <v>13</v>
      </c>
      <c r="F124" s="7">
        <v>4</v>
      </c>
      <c r="G124" s="10">
        <v>70.36</v>
      </c>
      <c r="H124" s="7" t="s">
        <v>33</v>
      </c>
    </row>
    <row r="125" spans="1:8">
      <c r="A125" s="7" t="s">
        <v>143</v>
      </c>
      <c r="B125" s="9">
        <v>45951</v>
      </c>
      <c r="C125" s="9" t="b">
        <f t="shared" si="1"/>
        <v>0</v>
      </c>
      <c r="D125" s="7" t="s">
        <v>12</v>
      </c>
      <c r="E125" s="7" t="s">
        <v>9</v>
      </c>
      <c r="F125" s="7">
        <v>5</v>
      </c>
      <c r="G125" s="10">
        <v>27.9</v>
      </c>
      <c r="H125" s="7" t="s">
        <v>51</v>
      </c>
    </row>
    <row r="126" spans="1:8">
      <c r="A126" s="7"/>
      <c r="B126" s="9">
        <v>45662</v>
      </c>
      <c r="C126" s="9" t="b">
        <f t="shared" si="1"/>
        <v>0</v>
      </c>
      <c r="D126" s="7" t="s">
        <v>12</v>
      </c>
      <c r="E126" s="7" t="s">
        <v>38</v>
      </c>
      <c r="F126" s="7">
        <v>3</v>
      </c>
      <c r="G126" s="10">
        <v>131.13999999999999</v>
      </c>
      <c r="H126" s="7" t="s">
        <v>33</v>
      </c>
    </row>
    <row r="127" spans="1:8">
      <c r="A127" s="7" t="s">
        <v>110</v>
      </c>
      <c r="B127" s="9">
        <v>45973</v>
      </c>
      <c r="C127" s="9" t="b">
        <f t="shared" si="1"/>
        <v>0</v>
      </c>
      <c r="D127" s="7" t="s">
        <v>12</v>
      </c>
      <c r="E127" s="7" t="s">
        <v>38</v>
      </c>
      <c r="F127" s="7">
        <v>5</v>
      </c>
      <c r="G127" s="10">
        <v>95.46</v>
      </c>
      <c r="H127" s="7" t="s">
        <v>10</v>
      </c>
    </row>
    <row r="128" spans="1:8">
      <c r="A128" s="7" t="s">
        <v>144</v>
      </c>
      <c r="B128" s="9">
        <v>45735</v>
      </c>
      <c r="C128" s="9" t="b">
        <f t="shared" si="1"/>
        <v>0</v>
      </c>
      <c r="D128" s="7" t="s">
        <v>8</v>
      </c>
      <c r="E128" s="7"/>
      <c r="F128" s="7">
        <v>7</v>
      </c>
      <c r="G128" s="10">
        <v>71.22</v>
      </c>
      <c r="H128" s="7" t="s">
        <v>23</v>
      </c>
    </row>
    <row r="129" spans="1:8">
      <c r="A129" s="7" t="s">
        <v>145</v>
      </c>
      <c r="B129" s="9"/>
      <c r="C129" s="9" t="b">
        <f t="shared" si="1"/>
        <v>0</v>
      </c>
      <c r="D129" s="7" t="s">
        <v>95</v>
      </c>
      <c r="E129" s="7" t="s">
        <v>27</v>
      </c>
      <c r="F129" s="7">
        <v>5</v>
      </c>
      <c r="G129" s="10">
        <v>335.42</v>
      </c>
      <c r="H129" s="7" t="s">
        <v>16</v>
      </c>
    </row>
    <row r="130" spans="1:8">
      <c r="A130" s="7" t="s">
        <v>146</v>
      </c>
      <c r="B130" s="9">
        <v>46137</v>
      </c>
      <c r="C130" s="9" t="b">
        <f t="shared" si="1"/>
        <v>0</v>
      </c>
      <c r="D130" s="7" t="s">
        <v>8</v>
      </c>
      <c r="E130" s="7" t="s">
        <v>27</v>
      </c>
      <c r="F130" s="7">
        <v>7</v>
      </c>
      <c r="G130" s="10">
        <v>344.08</v>
      </c>
      <c r="H130" s="7" t="s">
        <v>10</v>
      </c>
    </row>
    <row r="131" spans="1:8">
      <c r="A131" s="7" t="s">
        <v>147</v>
      </c>
      <c r="B131" s="9">
        <v>45669</v>
      </c>
      <c r="C131" s="9" t="b">
        <f t="shared" ref="C131:C194" si="2">OR(LEFT(H131,1)=" ", RIGHT(H131,1)=" ")</f>
        <v>0</v>
      </c>
      <c r="D131" s="7" t="s">
        <v>12</v>
      </c>
      <c r="E131" s="7" t="s">
        <v>9</v>
      </c>
      <c r="F131" s="7">
        <v>7</v>
      </c>
      <c r="G131" s="10">
        <v>16.27</v>
      </c>
      <c r="H131" s="7" t="s">
        <v>10</v>
      </c>
    </row>
    <row r="132" spans="1:8">
      <c r="A132" s="7" t="s">
        <v>148</v>
      </c>
      <c r="B132" s="9">
        <v>46064</v>
      </c>
      <c r="C132" s="9" t="b">
        <f t="shared" si="2"/>
        <v>0</v>
      </c>
      <c r="D132" s="7" t="s">
        <v>8</v>
      </c>
      <c r="E132" s="7" t="s">
        <v>13</v>
      </c>
      <c r="F132" s="7">
        <v>5</v>
      </c>
      <c r="G132" s="10">
        <v>55.05</v>
      </c>
      <c r="H132" s="7" t="s">
        <v>51</v>
      </c>
    </row>
    <row r="133" spans="1:8">
      <c r="A133" s="7" t="s">
        <v>149</v>
      </c>
      <c r="B133" s="9">
        <v>46062</v>
      </c>
      <c r="C133" s="9" t="b">
        <f t="shared" si="2"/>
        <v>0</v>
      </c>
      <c r="D133" s="7" t="s">
        <v>12</v>
      </c>
      <c r="E133" s="7" t="s">
        <v>9</v>
      </c>
      <c r="F133" s="7">
        <v>6</v>
      </c>
      <c r="G133" s="10">
        <v>18.27</v>
      </c>
      <c r="H133" s="7" t="s">
        <v>23</v>
      </c>
    </row>
    <row r="134" spans="1:8">
      <c r="A134" s="7" t="s">
        <v>150</v>
      </c>
      <c r="B134" s="9">
        <v>46091</v>
      </c>
      <c r="C134" s="9" t="b">
        <f t="shared" si="2"/>
        <v>0</v>
      </c>
      <c r="D134" s="7" t="s">
        <v>12</v>
      </c>
      <c r="E134" s="7"/>
      <c r="F134" s="7">
        <v>2</v>
      </c>
      <c r="G134" s="10">
        <v>64.44</v>
      </c>
      <c r="H134" s="7" t="s">
        <v>16</v>
      </c>
    </row>
    <row r="135" spans="1:8">
      <c r="A135" s="7" t="s">
        <v>151</v>
      </c>
      <c r="B135" s="9">
        <v>46179</v>
      </c>
      <c r="C135" s="9" t="b">
        <f t="shared" si="2"/>
        <v>0</v>
      </c>
      <c r="D135" s="7" t="s">
        <v>8</v>
      </c>
      <c r="E135" s="7" t="s">
        <v>13</v>
      </c>
      <c r="F135" s="7">
        <v>1</v>
      </c>
      <c r="G135" s="10">
        <v>54.06</v>
      </c>
      <c r="H135" s="7" t="s">
        <v>10</v>
      </c>
    </row>
    <row r="136" spans="1:8">
      <c r="A136" s="7" t="s">
        <v>152</v>
      </c>
      <c r="B136" s="9">
        <v>46121</v>
      </c>
      <c r="C136" s="9" t="b">
        <f t="shared" si="2"/>
        <v>0</v>
      </c>
      <c r="D136" s="7" t="s">
        <v>12</v>
      </c>
      <c r="E136" s="7" t="s">
        <v>9</v>
      </c>
      <c r="F136" s="7">
        <v>7</v>
      </c>
      <c r="G136" s="10">
        <v>22.38</v>
      </c>
      <c r="H136" s="7" t="s">
        <v>10</v>
      </c>
    </row>
    <row r="137" spans="1:8">
      <c r="A137" s="7" t="s">
        <v>153</v>
      </c>
      <c r="B137" s="9">
        <v>45885</v>
      </c>
      <c r="C137" s="9" t="b">
        <f t="shared" si="2"/>
        <v>0</v>
      </c>
      <c r="D137" s="7" t="s">
        <v>8</v>
      </c>
      <c r="E137" s="7" t="s">
        <v>9</v>
      </c>
      <c r="F137" s="7">
        <v>2</v>
      </c>
      <c r="G137" s="10">
        <v>16.920000000000002</v>
      </c>
      <c r="H137" s="7"/>
    </row>
    <row r="138" spans="1:8">
      <c r="A138" s="7" t="s">
        <v>154</v>
      </c>
      <c r="B138" s="9">
        <v>46212</v>
      </c>
      <c r="C138" s="9" t="b">
        <f t="shared" si="2"/>
        <v>0</v>
      </c>
      <c r="D138" s="7" t="s">
        <v>8</v>
      </c>
      <c r="E138" s="7" t="s">
        <v>13</v>
      </c>
      <c r="F138" s="7">
        <v>8</v>
      </c>
      <c r="G138" s="10">
        <v>45.98</v>
      </c>
      <c r="H138" s="7" t="s">
        <v>16</v>
      </c>
    </row>
    <row r="139" spans="1:8">
      <c r="A139" s="7" t="s">
        <v>155</v>
      </c>
      <c r="B139" s="9">
        <v>46086</v>
      </c>
      <c r="C139" s="9" t="b">
        <f t="shared" si="2"/>
        <v>0</v>
      </c>
      <c r="D139" s="7" t="s">
        <v>8</v>
      </c>
      <c r="E139" s="7" t="s">
        <v>27</v>
      </c>
      <c r="F139" s="7">
        <v>2</v>
      </c>
      <c r="G139" s="10">
        <v>128.03</v>
      </c>
      <c r="H139" s="7" t="s">
        <v>10</v>
      </c>
    </row>
    <row r="140" spans="1:8">
      <c r="A140" s="7" t="s">
        <v>156</v>
      </c>
      <c r="B140" s="9">
        <v>45749</v>
      </c>
      <c r="C140" s="9" t="b">
        <f t="shared" si="2"/>
        <v>0</v>
      </c>
      <c r="D140" s="7" t="s">
        <v>12</v>
      </c>
      <c r="E140" s="7" t="s">
        <v>27</v>
      </c>
      <c r="F140" s="7">
        <v>2</v>
      </c>
      <c r="G140" s="10">
        <v>266.16000000000003</v>
      </c>
      <c r="H140" s="7" t="s">
        <v>10</v>
      </c>
    </row>
    <row r="141" spans="1:8">
      <c r="A141" s="7" t="s">
        <v>157</v>
      </c>
      <c r="B141" s="9">
        <v>45958</v>
      </c>
      <c r="C141" s="9" t="b">
        <f t="shared" si="2"/>
        <v>0</v>
      </c>
      <c r="D141" s="7" t="s">
        <v>8</v>
      </c>
      <c r="E141" s="7" t="s">
        <v>9</v>
      </c>
      <c r="F141" s="7">
        <v>6</v>
      </c>
      <c r="G141" s="10">
        <v>20.92</v>
      </c>
      <c r="H141" s="7" t="s">
        <v>10</v>
      </c>
    </row>
    <row r="142" spans="1:8">
      <c r="A142" s="7" t="s">
        <v>158</v>
      </c>
      <c r="B142" s="9">
        <v>45824</v>
      </c>
      <c r="C142" s="9" t="b">
        <f t="shared" si="2"/>
        <v>0</v>
      </c>
      <c r="D142" s="7" t="s">
        <v>8</v>
      </c>
      <c r="E142" s="7" t="s">
        <v>13</v>
      </c>
      <c r="F142" s="7"/>
      <c r="G142" s="10">
        <v>41.97</v>
      </c>
      <c r="H142" s="7" t="s">
        <v>16</v>
      </c>
    </row>
    <row r="143" spans="1:8">
      <c r="A143" s="7" t="s">
        <v>159</v>
      </c>
      <c r="B143" s="9">
        <v>45969</v>
      </c>
      <c r="C143" s="9" t="b">
        <f t="shared" si="2"/>
        <v>0</v>
      </c>
      <c r="D143" s="7" t="s">
        <v>12</v>
      </c>
      <c r="E143" s="7" t="s">
        <v>9</v>
      </c>
      <c r="F143" s="7">
        <v>7</v>
      </c>
      <c r="G143" s="10">
        <v>14.78</v>
      </c>
      <c r="H143" s="7" t="s">
        <v>10</v>
      </c>
    </row>
    <row r="144" spans="1:8">
      <c r="A144" s="7" t="s">
        <v>160</v>
      </c>
      <c r="B144" s="9">
        <v>46149</v>
      </c>
      <c r="C144" s="9" t="b">
        <f t="shared" si="2"/>
        <v>0</v>
      </c>
      <c r="D144" s="7" t="s">
        <v>8</v>
      </c>
      <c r="E144" s="7" t="s">
        <v>27</v>
      </c>
      <c r="F144" s="7">
        <v>7</v>
      </c>
      <c r="G144" s="10">
        <v>265.88</v>
      </c>
      <c r="H144" s="7" t="s">
        <v>10</v>
      </c>
    </row>
    <row r="145" spans="1:8">
      <c r="A145" s="7" t="s">
        <v>161</v>
      </c>
      <c r="B145" s="9">
        <v>45771</v>
      </c>
      <c r="C145" s="9" t="b">
        <f t="shared" si="2"/>
        <v>0</v>
      </c>
      <c r="D145" s="7" t="s">
        <v>8</v>
      </c>
      <c r="E145" s="7" t="s">
        <v>19</v>
      </c>
      <c r="F145" s="7">
        <v>6</v>
      </c>
      <c r="G145" s="10">
        <v>7.33</v>
      </c>
      <c r="H145" s="7" t="s">
        <v>10</v>
      </c>
    </row>
    <row r="146" spans="1:8">
      <c r="A146" s="7" t="s">
        <v>162</v>
      </c>
      <c r="B146" s="9">
        <v>45944</v>
      </c>
      <c r="C146" s="9" t="b">
        <f t="shared" si="2"/>
        <v>0</v>
      </c>
      <c r="D146" s="7" t="s">
        <v>12</v>
      </c>
      <c r="E146" s="7" t="s">
        <v>13</v>
      </c>
      <c r="F146" s="7">
        <v>8</v>
      </c>
      <c r="G146" s="10">
        <v>68.62</v>
      </c>
      <c r="H146" s="7" t="s">
        <v>10</v>
      </c>
    </row>
    <row r="147" spans="1:8">
      <c r="A147" s="7" t="s">
        <v>163</v>
      </c>
      <c r="B147" s="9"/>
      <c r="C147" s="9" t="b">
        <f t="shared" si="2"/>
        <v>0</v>
      </c>
      <c r="D147" s="7" t="s">
        <v>12</v>
      </c>
      <c r="E147" s="7" t="s">
        <v>19</v>
      </c>
      <c r="F147" s="7">
        <v>4</v>
      </c>
      <c r="G147" s="10">
        <v>7.21</v>
      </c>
      <c r="H147" s="7" t="s">
        <v>16</v>
      </c>
    </row>
    <row r="148" spans="1:8">
      <c r="A148" s="7" t="s">
        <v>164</v>
      </c>
      <c r="B148" s="9">
        <v>45680</v>
      </c>
      <c r="C148" s="9" t="b">
        <f t="shared" si="2"/>
        <v>0</v>
      </c>
      <c r="D148" s="7" t="s">
        <v>12</v>
      </c>
      <c r="E148" s="7" t="s">
        <v>38</v>
      </c>
      <c r="F148" s="7">
        <v>3</v>
      </c>
      <c r="G148" s="10">
        <v>118.11</v>
      </c>
      <c r="H148" s="7" t="s">
        <v>10</v>
      </c>
    </row>
    <row r="149" spans="1:8">
      <c r="A149" s="7" t="s">
        <v>165</v>
      </c>
      <c r="B149" s="9">
        <v>45706</v>
      </c>
      <c r="C149" s="9" t="b">
        <f t="shared" si="2"/>
        <v>0</v>
      </c>
      <c r="D149" s="7" t="s">
        <v>8</v>
      </c>
      <c r="E149" s="7" t="s">
        <v>19</v>
      </c>
      <c r="F149" s="7">
        <v>1</v>
      </c>
      <c r="G149" s="10">
        <v>10.61</v>
      </c>
      <c r="H149" s="7" t="s">
        <v>51</v>
      </c>
    </row>
    <row r="150" spans="1:8">
      <c r="A150" s="7" t="s">
        <v>166</v>
      </c>
      <c r="B150" s="9">
        <v>46198</v>
      </c>
      <c r="C150" s="9" t="b">
        <f t="shared" si="2"/>
        <v>0</v>
      </c>
      <c r="D150" s="7" t="s">
        <v>12</v>
      </c>
      <c r="E150" s="7" t="s">
        <v>9</v>
      </c>
      <c r="F150" s="7">
        <v>1</v>
      </c>
      <c r="G150" s="10">
        <v>18.18</v>
      </c>
      <c r="H150" s="7" t="s">
        <v>14</v>
      </c>
    </row>
    <row r="151" spans="1:8">
      <c r="A151" s="7"/>
      <c r="B151" s="9">
        <v>45829</v>
      </c>
      <c r="C151" s="9" t="b">
        <f t="shared" si="2"/>
        <v>0</v>
      </c>
      <c r="D151" s="7" t="s">
        <v>12</v>
      </c>
      <c r="E151" s="7" t="s">
        <v>27</v>
      </c>
      <c r="F151" s="7">
        <v>1</v>
      </c>
      <c r="G151" s="10">
        <v>228.02</v>
      </c>
      <c r="H151" s="7" t="s">
        <v>33</v>
      </c>
    </row>
    <row r="152" spans="1:8">
      <c r="A152" s="7"/>
      <c r="B152" s="9">
        <v>45847</v>
      </c>
      <c r="C152" s="9" t="b">
        <f t="shared" si="2"/>
        <v>0</v>
      </c>
      <c r="D152" s="7" t="s">
        <v>12</v>
      </c>
      <c r="E152" s="7" t="s">
        <v>19</v>
      </c>
      <c r="F152" s="7">
        <v>6</v>
      </c>
      <c r="G152" s="10">
        <v>12.28</v>
      </c>
      <c r="H152" s="7" t="s">
        <v>23</v>
      </c>
    </row>
    <row r="153" spans="1:8">
      <c r="A153" s="7" t="s">
        <v>167</v>
      </c>
      <c r="B153" s="9">
        <v>46047</v>
      </c>
      <c r="C153" s="9" t="b">
        <f t="shared" si="2"/>
        <v>0</v>
      </c>
      <c r="D153" s="7"/>
      <c r="E153" s="7" t="s">
        <v>13</v>
      </c>
      <c r="F153" s="7">
        <v>6</v>
      </c>
      <c r="G153" s="10">
        <v>67.680000000000007</v>
      </c>
      <c r="H153" s="7" t="s">
        <v>14</v>
      </c>
    </row>
    <row r="154" spans="1:8">
      <c r="A154" s="7" t="s">
        <v>168</v>
      </c>
      <c r="B154" s="9">
        <v>45781</v>
      </c>
      <c r="C154" s="9" t="b">
        <f t="shared" si="2"/>
        <v>0</v>
      </c>
      <c r="D154" s="7" t="s">
        <v>8</v>
      </c>
      <c r="E154" s="7" t="s">
        <v>38</v>
      </c>
      <c r="F154" s="7">
        <v>5</v>
      </c>
      <c r="G154" s="10">
        <v>73.55</v>
      </c>
      <c r="H154" s="7" t="s">
        <v>51</v>
      </c>
    </row>
    <row r="155" spans="1:8">
      <c r="A155" s="7" t="s">
        <v>169</v>
      </c>
      <c r="B155" s="9">
        <v>46232</v>
      </c>
      <c r="C155" s="9" t="b">
        <f t="shared" si="2"/>
        <v>0</v>
      </c>
      <c r="D155" s="7" t="s">
        <v>8</v>
      </c>
      <c r="E155" s="7"/>
      <c r="F155" s="7">
        <v>7</v>
      </c>
      <c r="G155" s="10">
        <v>90.6</v>
      </c>
      <c r="H155" s="7" t="s">
        <v>16</v>
      </c>
    </row>
    <row r="156" spans="1:8">
      <c r="A156" s="7" t="s">
        <v>170</v>
      </c>
      <c r="B156" s="9">
        <v>45952</v>
      </c>
      <c r="C156" s="9" t="b">
        <f t="shared" si="2"/>
        <v>0</v>
      </c>
      <c r="D156" s="7" t="s">
        <v>12</v>
      </c>
      <c r="E156" s="7" t="s">
        <v>27</v>
      </c>
      <c r="F156" s="7">
        <v>3</v>
      </c>
      <c r="G156" s="10">
        <v>145.54</v>
      </c>
      <c r="H156" s="7" t="s">
        <v>10</v>
      </c>
    </row>
    <row r="157" spans="1:8">
      <c r="A157" s="7" t="s">
        <v>171</v>
      </c>
      <c r="B157" s="9">
        <v>45969</v>
      </c>
      <c r="C157" s="9" t="b">
        <f t="shared" si="2"/>
        <v>0</v>
      </c>
      <c r="D157" s="7" t="s">
        <v>12</v>
      </c>
      <c r="E157" s="7" t="s">
        <v>19</v>
      </c>
      <c r="F157" s="7">
        <v>8</v>
      </c>
      <c r="G157" s="10">
        <v>12.76</v>
      </c>
      <c r="H157" s="7" t="s">
        <v>33</v>
      </c>
    </row>
    <row r="158" spans="1:8">
      <c r="A158" s="7" t="s">
        <v>172</v>
      </c>
      <c r="B158" s="9">
        <v>46207</v>
      </c>
      <c r="C158" s="9" t="b">
        <f t="shared" si="2"/>
        <v>0</v>
      </c>
      <c r="D158" s="7" t="s">
        <v>8</v>
      </c>
      <c r="E158" s="7" t="s">
        <v>27</v>
      </c>
      <c r="F158" s="7">
        <v>8</v>
      </c>
      <c r="G158" s="10"/>
      <c r="H158" s="7" t="s">
        <v>14</v>
      </c>
    </row>
    <row r="159" spans="1:8">
      <c r="A159" s="7" t="s">
        <v>173</v>
      </c>
      <c r="B159" s="9">
        <v>45826</v>
      </c>
      <c r="C159" s="9" t="b">
        <f t="shared" si="2"/>
        <v>0</v>
      </c>
      <c r="D159" s="7" t="s">
        <v>12</v>
      </c>
      <c r="E159" s="7" t="s">
        <v>38</v>
      </c>
      <c r="F159" s="7">
        <v>5</v>
      </c>
      <c r="G159" s="10">
        <v>99.46</v>
      </c>
      <c r="H159" s="7" t="s">
        <v>16</v>
      </c>
    </row>
    <row r="160" spans="1:8">
      <c r="A160" s="7" t="s">
        <v>174</v>
      </c>
      <c r="B160" s="9">
        <v>46222</v>
      </c>
      <c r="C160" s="9" t="b">
        <f t="shared" si="2"/>
        <v>0</v>
      </c>
      <c r="D160" s="7" t="s">
        <v>8</v>
      </c>
      <c r="E160" s="7" t="s">
        <v>38</v>
      </c>
      <c r="F160" s="7">
        <v>6</v>
      </c>
      <c r="G160" s="10"/>
      <c r="H160" s="7" t="s">
        <v>10</v>
      </c>
    </row>
    <row r="161" spans="1:8">
      <c r="A161" s="7" t="s">
        <v>175</v>
      </c>
      <c r="B161" s="9">
        <v>45830</v>
      </c>
      <c r="C161" s="9" t="b">
        <f t="shared" si="2"/>
        <v>0</v>
      </c>
      <c r="D161" s="7" t="s">
        <v>12</v>
      </c>
      <c r="E161" s="7" t="s">
        <v>9</v>
      </c>
      <c r="F161" s="7"/>
      <c r="G161" s="10">
        <v>15.51</v>
      </c>
      <c r="H161" s="7" t="s">
        <v>10</v>
      </c>
    </row>
    <row r="162" spans="1:8">
      <c r="A162" s="7" t="s">
        <v>176</v>
      </c>
      <c r="B162" s="9">
        <v>45748</v>
      </c>
      <c r="C162" s="9" t="b">
        <f t="shared" si="2"/>
        <v>0</v>
      </c>
      <c r="D162" s="7" t="s">
        <v>12</v>
      </c>
      <c r="E162" s="7" t="s">
        <v>38</v>
      </c>
      <c r="F162" s="7">
        <v>8</v>
      </c>
      <c r="G162" s="10">
        <v>120.06</v>
      </c>
      <c r="H162" s="7" t="s">
        <v>23</v>
      </c>
    </row>
    <row r="163" spans="1:8">
      <c r="A163" s="7" t="s">
        <v>177</v>
      </c>
      <c r="B163" s="9">
        <v>46157</v>
      </c>
      <c r="C163" s="9" t="b">
        <f t="shared" si="2"/>
        <v>0</v>
      </c>
      <c r="D163" s="7" t="s">
        <v>8</v>
      </c>
      <c r="E163" s="7" t="s">
        <v>9</v>
      </c>
      <c r="F163" s="7">
        <v>2</v>
      </c>
      <c r="G163" s="10">
        <v>17.45</v>
      </c>
      <c r="H163" s="7"/>
    </row>
    <row r="164" spans="1:8">
      <c r="A164" s="7" t="s">
        <v>178</v>
      </c>
      <c r="B164" s="9">
        <v>46214</v>
      </c>
      <c r="C164" s="9" t="b">
        <f t="shared" si="2"/>
        <v>0</v>
      </c>
      <c r="D164" s="7" t="s">
        <v>8</v>
      </c>
      <c r="E164" s="7" t="s">
        <v>9</v>
      </c>
      <c r="F164" s="7">
        <v>8</v>
      </c>
      <c r="G164" s="10">
        <v>11.15</v>
      </c>
      <c r="H164" s="7" t="s">
        <v>51</v>
      </c>
    </row>
    <row r="165" spans="1:8">
      <c r="A165" s="7" t="s">
        <v>179</v>
      </c>
      <c r="B165" s="9">
        <v>45750</v>
      </c>
      <c r="C165" s="9" t="b">
        <f t="shared" si="2"/>
        <v>0</v>
      </c>
      <c r="D165" s="7" t="s">
        <v>8</v>
      </c>
      <c r="E165" s="7" t="s">
        <v>9</v>
      </c>
      <c r="F165" s="7"/>
      <c r="G165" s="10">
        <v>16.510000000000002</v>
      </c>
      <c r="H165" s="7" t="s">
        <v>14</v>
      </c>
    </row>
    <row r="166" spans="1:8">
      <c r="A166" s="7" t="s">
        <v>180</v>
      </c>
      <c r="B166" s="9">
        <v>45777</v>
      </c>
      <c r="C166" s="9" t="b">
        <f t="shared" si="2"/>
        <v>0</v>
      </c>
      <c r="D166" s="7" t="s">
        <v>12</v>
      </c>
      <c r="E166" s="7" t="s">
        <v>27</v>
      </c>
      <c r="F166" s="7">
        <v>4</v>
      </c>
      <c r="G166" s="10">
        <v>171.79</v>
      </c>
      <c r="H166" s="7" t="s">
        <v>51</v>
      </c>
    </row>
    <row r="167" spans="1:8">
      <c r="A167" s="7" t="s">
        <v>181</v>
      </c>
      <c r="B167" s="9">
        <v>46099</v>
      </c>
      <c r="C167" s="9" t="b">
        <f t="shared" si="2"/>
        <v>0</v>
      </c>
      <c r="D167" s="7" t="s">
        <v>8</v>
      </c>
      <c r="E167" s="7" t="s">
        <v>19</v>
      </c>
      <c r="F167" s="7">
        <v>5</v>
      </c>
      <c r="G167" s="10">
        <v>10.32</v>
      </c>
      <c r="H167" s="7" t="s">
        <v>10</v>
      </c>
    </row>
    <row r="168" spans="1:8">
      <c r="A168" s="7" t="s">
        <v>182</v>
      </c>
      <c r="B168" s="9">
        <v>45867</v>
      </c>
      <c r="C168" s="9" t="b">
        <f t="shared" si="2"/>
        <v>0</v>
      </c>
      <c r="D168" s="7" t="s">
        <v>12</v>
      </c>
      <c r="E168" s="7" t="s">
        <v>9</v>
      </c>
      <c r="F168" s="7">
        <v>2</v>
      </c>
      <c r="G168" s="10">
        <v>26.75</v>
      </c>
      <c r="H168" s="7" t="s">
        <v>14</v>
      </c>
    </row>
    <row r="169" spans="1:8">
      <c r="A169" s="7" t="s">
        <v>183</v>
      </c>
      <c r="B169" s="9">
        <v>45783</v>
      </c>
      <c r="C169" s="9" t="b">
        <f t="shared" si="2"/>
        <v>0</v>
      </c>
      <c r="D169" s="7" t="s">
        <v>12</v>
      </c>
      <c r="E169" s="7" t="s">
        <v>13</v>
      </c>
      <c r="F169" s="7">
        <v>3</v>
      </c>
      <c r="G169" s="10">
        <v>54.06</v>
      </c>
      <c r="H169" s="7" t="s">
        <v>10</v>
      </c>
    </row>
    <row r="170" spans="1:8">
      <c r="A170" s="7" t="s">
        <v>184</v>
      </c>
      <c r="B170" s="9">
        <v>46073</v>
      </c>
      <c r="C170" s="9" t="b">
        <f t="shared" si="2"/>
        <v>0</v>
      </c>
      <c r="D170" s="7" t="s">
        <v>12</v>
      </c>
      <c r="E170" s="7" t="s">
        <v>27</v>
      </c>
      <c r="F170" s="7">
        <v>3</v>
      </c>
      <c r="G170" s="10">
        <v>123.7</v>
      </c>
      <c r="H170" s="7" t="s">
        <v>16</v>
      </c>
    </row>
    <row r="171" spans="1:8">
      <c r="A171" s="7" t="s">
        <v>185</v>
      </c>
      <c r="B171" s="9">
        <v>45790</v>
      </c>
      <c r="C171" s="9" t="b">
        <f t="shared" si="2"/>
        <v>0</v>
      </c>
      <c r="D171" s="7" t="s">
        <v>12</v>
      </c>
      <c r="E171" s="7" t="s">
        <v>13</v>
      </c>
      <c r="F171" s="7">
        <v>8</v>
      </c>
      <c r="G171" s="10">
        <v>62.45</v>
      </c>
      <c r="H171" s="7"/>
    </row>
    <row r="172" spans="1:8">
      <c r="A172" s="7" t="s">
        <v>186</v>
      </c>
      <c r="B172" s="9">
        <v>46207</v>
      </c>
      <c r="C172" s="9" t="b">
        <f t="shared" si="2"/>
        <v>0</v>
      </c>
      <c r="D172" s="7" t="s">
        <v>12</v>
      </c>
      <c r="E172" s="7" t="s">
        <v>9</v>
      </c>
      <c r="F172" s="7">
        <v>8</v>
      </c>
      <c r="G172" s="10"/>
      <c r="H172" s="7" t="s">
        <v>16</v>
      </c>
    </row>
    <row r="173" spans="1:8">
      <c r="A173" s="7" t="s">
        <v>187</v>
      </c>
      <c r="B173" s="9">
        <v>46189</v>
      </c>
      <c r="C173" s="9" t="b">
        <f t="shared" si="2"/>
        <v>0</v>
      </c>
      <c r="D173" s="7" t="s">
        <v>12</v>
      </c>
      <c r="E173" s="7" t="s">
        <v>27</v>
      </c>
      <c r="F173" s="7">
        <v>7</v>
      </c>
      <c r="G173" s="10">
        <v>345.16</v>
      </c>
      <c r="H173" s="7" t="s">
        <v>14</v>
      </c>
    </row>
    <row r="174" spans="1:8">
      <c r="A174" s="7" t="s">
        <v>188</v>
      </c>
      <c r="B174" s="9">
        <v>45876</v>
      </c>
      <c r="C174" s="9" t="b">
        <f t="shared" si="2"/>
        <v>0</v>
      </c>
      <c r="D174" s="7" t="s">
        <v>8</v>
      </c>
      <c r="E174" s="7" t="s">
        <v>9</v>
      </c>
      <c r="F174" s="7">
        <v>2</v>
      </c>
      <c r="G174" s="10">
        <v>26.91</v>
      </c>
      <c r="H174" s="7" t="s">
        <v>14</v>
      </c>
    </row>
    <row r="175" spans="1:8">
      <c r="A175" s="7" t="s">
        <v>189</v>
      </c>
      <c r="B175" s="9">
        <v>46163</v>
      </c>
      <c r="C175" s="9" t="b">
        <f t="shared" si="2"/>
        <v>0</v>
      </c>
      <c r="D175" s="7" t="s">
        <v>12</v>
      </c>
      <c r="E175" s="7" t="s">
        <v>38</v>
      </c>
      <c r="F175" s="7">
        <v>1</v>
      </c>
      <c r="G175" s="10">
        <v>68.760000000000005</v>
      </c>
      <c r="H175" s="7" t="s">
        <v>10</v>
      </c>
    </row>
    <row r="176" spans="1:8">
      <c r="A176" s="7" t="s">
        <v>190</v>
      </c>
      <c r="B176" s="9">
        <v>45668</v>
      </c>
      <c r="C176" s="9" t="b">
        <f t="shared" si="2"/>
        <v>0</v>
      </c>
      <c r="D176" s="7" t="s">
        <v>8</v>
      </c>
      <c r="E176" s="7" t="s">
        <v>27</v>
      </c>
      <c r="F176" s="7">
        <v>5</v>
      </c>
      <c r="G176" s="10">
        <v>180.54</v>
      </c>
      <c r="H176" s="7"/>
    </row>
    <row r="177" spans="1:8">
      <c r="A177" s="7" t="s">
        <v>191</v>
      </c>
      <c r="B177" s="9">
        <v>45785</v>
      </c>
      <c r="C177" s="9" t="b">
        <f t="shared" si="2"/>
        <v>0</v>
      </c>
      <c r="D177" s="7" t="s">
        <v>8</v>
      </c>
      <c r="E177" s="7" t="s">
        <v>38</v>
      </c>
      <c r="F177" s="7">
        <v>1</v>
      </c>
      <c r="G177" s="10">
        <v>117.2</v>
      </c>
      <c r="H177" s="7" t="s">
        <v>23</v>
      </c>
    </row>
    <row r="178" spans="1:8">
      <c r="A178" s="7" t="s">
        <v>192</v>
      </c>
      <c r="B178" s="9"/>
      <c r="C178" s="9" t="b">
        <f t="shared" si="2"/>
        <v>0</v>
      </c>
      <c r="D178" s="7" t="s">
        <v>8</v>
      </c>
      <c r="E178" s="7" t="s">
        <v>38</v>
      </c>
      <c r="F178" s="7">
        <v>1</v>
      </c>
      <c r="G178" s="10">
        <v>52.75</v>
      </c>
      <c r="H178" s="7" t="s">
        <v>23</v>
      </c>
    </row>
    <row r="179" spans="1:8">
      <c r="A179" s="7" t="s">
        <v>193</v>
      </c>
      <c r="B179" s="9">
        <v>45920</v>
      </c>
      <c r="C179" s="9" t="b">
        <f t="shared" si="2"/>
        <v>0</v>
      </c>
      <c r="D179" s="7" t="s">
        <v>12</v>
      </c>
      <c r="E179" s="7" t="s">
        <v>38</v>
      </c>
      <c r="F179" s="7">
        <v>2</v>
      </c>
      <c r="G179" s="10">
        <v>135.55000000000001</v>
      </c>
      <c r="H179" s="7" t="s">
        <v>16</v>
      </c>
    </row>
    <row r="180" spans="1:8">
      <c r="A180" s="7" t="s">
        <v>194</v>
      </c>
      <c r="B180" s="9">
        <v>45861</v>
      </c>
      <c r="C180" s="9" t="b">
        <f t="shared" si="2"/>
        <v>0</v>
      </c>
      <c r="D180" s="7" t="s">
        <v>8</v>
      </c>
      <c r="E180" s="7" t="s">
        <v>13</v>
      </c>
      <c r="F180" s="7">
        <v>6</v>
      </c>
      <c r="G180" s="10">
        <v>42.2</v>
      </c>
      <c r="H180" s="7" t="s">
        <v>10</v>
      </c>
    </row>
    <row r="181" spans="1:8">
      <c r="A181" s="7" t="s">
        <v>195</v>
      </c>
      <c r="B181" s="9">
        <v>45923</v>
      </c>
      <c r="C181" s="9" t="b">
        <f t="shared" si="2"/>
        <v>0</v>
      </c>
      <c r="D181" s="7"/>
      <c r="E181" s="7" t="s">
        <v>27</v>
      </c>
      <c r="F181" s="7">
        <v>3</v>
      </c>
      <c r="G181" s="10">
        <v>199.14</v>
      </c>
      <c r="H181" s="7" t="s">
        <v>16</v>
      </c>
    </row>
    <row r="182" spans="1:8">
      <c r="A182" s="7" t="s">
        <v>196</v>
      </c>
      <c r="B182" s="9">
        <v>46026</v>
      </c>
      <c r="C182" s="9" t="b">
        <f t="shared" si="2"/>
        <v>0</v>
      </c>
      <c r="D182" s="7"/>
      <c r="E182" s="7" t="s">
        <v>9</v>
      </c>
      <c r="F182" s="7">
        <v>7</v>
      </c>
      <c r="G182" s="10">
        <v>14.03</v>
      </c>
      <c r="H182" s="7" t="s">
        <v>10</v>
      </c>
    </row>
    <row r="183" spans="1:8">
      <c r="A183" s="7" t="s">
        <v>197</v>
      </c>
      <c r="B183" s="9">
        <v>45828</v>
      </c>
      <c r="C183" s="9" t="b">
        <f t="shared" si="2"/>
        <v>0</v>
      </c>
      <c r="D183" s="7" t="s">
        <v>12</v>
      </c>
      <c r="E183" s="7" t="s">
        <v>38</v>
      </c>
      <c r="F183" s="7">
        <v>1</v>
      </c>
      <c r="G183" s="10">
        <v>72.260000000000005</v>
      </c>
      <c r="H183" s="7" t="s">
        <v>14</v>
      </c>
    </row>
    <row r="184" spans="1:8">
      <c r="A184" s="7" t="s">
        <v>198</v>
      </c>
      <c r="B184" s="9">
        <v>45987</v>
      </c>
      <c r="C184" s="9" t="b">
        <f t="shared" si="2"/>
        <v>0</v>
      </c>
      <c r="D184" s="7" t="s">
        <v>12</v>
      </c>
      <c r="E184" s="7" t="s">
        <v>38</v>
      </c>
      <c r="F184" s="7">
        <v>1</v>
      </c>
      <c r="G184" s="10">
        <v>50.46</v>
      </c>
      <c r="H184" s="7" t="s">
        <v>10</v>
      </c>
    </row>
    <row r="185" spans="1:8">
      <c r="A185" s="7" t="s">
        <v>199</v>
      </c>
      <c r="B185" s="9">
        <v>46054</v>
      </c>
      <c r="C185" s="9" t="b">
        <f t="shared" si="2"/>
        <v>0</v>
      </c>
      <c r="D185" s="7" t="s">
        <v>12</v>
      </c>
      <c r="E185" s="7" t="s">
        <v>38</v>
      </c>
      <c r="F185" s="7">
        <v>8</v>
      </c>
      <c r="G185" s="10">
        <v>120.09</v>
      </c>
      <c r="H185" s="7" t="s">
        <v>10</v>
      </c>
    </row>
    <row r="186" spans="1:8">
      <c r="A186" s="7" t="s">
        <v>200</v>
      </c>
      <c r="B186" s="9">
        <v>46146</v>
      </c>
      <c r="C186" s="9" t="b">
        <f t="shared" si="2"/>
        <v>0</v>
      </c>
      <c r="D186" s="7" t="s">
        <v>8</v>
      </c>
      <c r="E186" s="7" t="s">
        <v>27</v>
      </c>
      <c r="F186" s="7">
        <v>6</v>
      </c>
      <c r="G186" s="10">
        <v>235.74</v>
      </c>
      <c r="H186" s="7" t="s">
        <v>10</v>
      </c>
    </row>
    <row r="187" spans="1:8">
      <c r="A187" s="7" t="s">
        <v>201</v>
      </c>
      <c r="B187" s="9">
        <v>46057</v>
      </c>
      <c r="C187" s="9" t="b">
        <f t="shared" si="2"/>
        <v>0</v>
      </c>
      <c r="D187" s="7"/>
      <c r="E187" s="7" t="s">
        <v>19</v>
      </c>
      <c r="F187" s="7">
        <v>6</v>
      </c>
      <c r="G187" s="10">
        <v>4.93</v>
      </c>
      <c r="H187" s="7" t="s">
        <v>14</v>
      </c>
    </row>
    <row r="188" spans="1:8">
      <c r="A188" s="7" t="s">
        <v>202</v>
      </c>
      <c r="B188" s="9">
        <v>46209</v>
      </c>
      <c r="C188" s="9" t="b">
        <f t="shared" si="2"/>
        <v>0</v>
      </c>
      <c r="D188" s="7" t="s">
        <v>12</v>
      </c>
      <c r="E188" s="7" t="s">
        <v>13</v>
      </c>
      <c r="F188" s="7">
        <v>1</v>
      </c>
      <c r="G188" s="10">
        <v>36.229999999999997</v>
      </c>
      <c r="H188" s="7" t="s">
        <v>10</v>
      </c>
    </row>
    <row r="189" spans="1:8">
      <c r="A189" s="7" t="s">
        <v>203</v>
      </c>
      <c r="B189" s="9">
        <v>46020</v>
      </c>
      <c r="C189" s="9" t="b">
        <f t="shared" si="2"/>
        <v>0</v>
      </c>
      <c r="D189" s="7" t="s">
        <v>12</v>
      </c>
      <c r="E189" s="7" t="s">
        <v>13</v>
      </c>
      <c r="F189" s="7">
        <v>8</v>
      </c>
      <c r="G189" s="10">
        <v>39.08</v>
      </c>
      <c r="H189" s="7" t="s">
        <v>14</v>
      </c>
    </row>
    <row r="190" spans="1:8">
      <c r="A190" s="7" t="s">
        <v>204</v>
      </c>
      <c r="B190" s="9">
        <v>45774</v>
      </c>
      <c r="C190" s="9" t="b">
        <f t="shared" si="2"/>
        <v>0</v>
      </c>
      <c r="D190" s="7" t="s">
        <v>12</v>
      </c>
      <c r="E190" s="7" t="s">
        <v>27</v>
      </c>
      <c r="F190" s="7">
        <v>1</v>
      </c>
      <c r="G190" s="10">
        <v>239.6</v>
      </c>
      <c r="H190" s="7" t="s">
        <v>23</v>
      </c>
    </row>
    <row r="191" spans="1:8">
      <c r="A191" s="7" t="s">
        <v>205</v>
      </c>
      <c r="B191" s="9">
        <v>45934</v>
      </c>
      <c r="C191" s="9" t="b">
        <f t="shared" si="2"/>
        <v>0</v>
      </c>
      <c r="D191" s="7" t="s">
        <v>12</v>
      </c>
      <c r="E191" s="7" t="s">
        <v>19</v>
      </c>
      <c r="F191" s="7">
        <v>6</v>
      </c>
      <c r="G191" s="10">
        <v>5.59</v>
      </c>
      <c r="H191" s="7" t="s">
        <v>51</v>
      </c>
    </row>
    <row r="192" spans="1:8">
      <c r="A192" s="7" t="s">
        <v>206</v>
      </c>
      <c r="B192" s="9">
        <v>45832</v>
      </c>
      <c r="C192" s="9" t="b">
        <f t="shared" si="2"/>
        <v>0</v>
      </c>
      <c r="D192" s="7" t="s">
        <v>12</v>
      </c>
      <c r="E192" s="7" t="s">
        <v>13</v>
      </c>
      <c r="F192" s="7">
        <v>3</v>
      </c>
      <c r="G192" s="10">
        <v>46.32</v>
      </c>
      <c r="H192" s="7" t="s">
        <v>51</v>
      </c>
    </row>
    <row r="193" spans="1:8">
      <c r="A193" s="7" t="s">
        <v>207</v>
      </c>
      <c r="B193" s="9">
        <v>45941</v>
      </c>
      <c r="C193" s="9" t="b">
        <f t="shared" si="2"/>
        <v>0</v>
      </c>
      <c r="D193" s="7" t="s">
        <v>12</v>
      </c>
      <c r="E193" s="7" t="s">
        <v>336</v>
      </c>
      <c r="F193" s="7">
        <v>3</v>
      </c>
      <c r="G193" s="10">
        <v>16.54</v>
      </c>
      <c r="H193" s="7" t="s">
        <v>10</v>
      </c>
    </row>
    <row r="194" spans="1:8">
      <c r="A194" s="7" t="s">
        <v>193</v>
      </c>
      <c r="B194" s="9">
        <v>45920</v>
      </c>
      <c r="C194" s="9" t="b">
        <f t="shared" si="2"/>
        <v>0</v>
      </c>
      <c r="D194" s="7" t="s">
        <v>12</v>
      </c>
      <c r="E194" s="7" t="s">
        <v>38</v>
      </c>
      <c r="F194" s="7">
        <v>2</v>
      </c>
      <c r="G194" s="10">
        <v>135.55000000000001</v>
      </c>
      <c r="H194" s="7" t="s">
        <v>16</v>
      </c>
    </row>
    <row r="195" spans="1:8">
      <c r="A195" s="7" t="s">
        <v>208</v>
      </c>
      <c r="B195" s="9">
        <v>45925</v>
      </c>
      <c r="C195" s="9" t="b">
        <f t="shared" ref="C195:C258" si="3">OR(LEFT(H195,1)=" ", RIGHT(H195,1)=" ")</f>
        <v>0</v>
      </c>
      <c r="D195" s="7" t="s">
        <v>8</v>
      </c>
      <c r="E195" s="7" t="s">
        <v>13</v>
      </c>
      <c r="F195" s="7">
        <v>5</v>
      </c>
      <c r="G195" s="10">
        <v>47.62</v>
      </c>
      <c r="H195" s="7" t="s">
        <v>10</v>
      </c>
    </row>
    <row r="196" spans="1:8">
      <c r="A196" s="7" t="s">
        <v>209</v>
      </c>
      <c r="B196" s="9">
        <v>46149</v>
      </c>
      <c r="C196" s="9" t="b">
        <f t="shared" si="3"/>
        <v>0</v>
      </c>
      <c r="D196" s="7" t="s">
        <v>8</v>
      </c>
      <c r="E196" s="7" t="s">
        <v>13</v>
      </c>
      <c r="F196" s="7">
        <v>1</v>
      </c>
      <c r="G196" s="10">
        <v>33.549999999999997</v>
      </c>
      <c r="H196" s="7" t="s">
        <v>33</v>
      </c>
    </row>
    <row r="197" spans="1:8">
      <c r="A197" s="7" t="s">
        <v>210</v>
      </c>
      <c r="B197" s="9"/>
      <c r="C197" s="9" t="b">
        <f t="shared" si="3"/>
        <v>0</v>
      </c>
      <c r="D197" s="7" t="s">
        <v>8</v>
      </c>
      <c r="E197" s="7" t="s">
        <v>27</v>
      </c>
      <c r="F197" s="7">
        <v>7</v>
      </c>
      <c r="G197" s="10">
        <v>253.2</v>
      </c>
      <c r="H197" s="7" t="s">
        <v>10</v>
      </c>
    </row>
    <row r="198" spans="1:8">
      <c r="A198" s="7" t="s">
        <v>211</v>
      </c>
      <c r="B198" s="9"/>
      <c r="C198" s="9" t="b">
        <f t="shared" si="3"/>
        <v>0</v>
      </c>
      <c r="D198" s="7" t="s">
        <v>12</v>
      </c>
      <c r="E198" s="7" t="s">
        <v>9</v>
      </c>
      <c r="F198" s="7">
        <v>6</v>
      </c>
      <c r="G198" s="10">
        <v>15.12</v>
      </c>
      <c r="H198" s="7" t="s">
        <v>14</v>
      </c>
    </row>
    <row r="199" spans="1:8">
      <c r="A199" s="7" t="s">
        <v>212</v>
      </c>
      <c r="B199" s="9">
        <v>45980</v>
      </c>
      <c r="C199" s="9" t="b">
        <f t="shared" si="3"/>
        <v>0</v>
      </c>
      <c r="D199" s="7" t="s">
        <v>12</v>
      </c>
      <c r="E199" s="7" t="s">
        <v>9</v>
      </c>
      <c r="F199" s="7">
        <v>5</v>
      </c>
      <c r="G199" s="10">
        <v>13.02</v>
      </c>
      <c r="H199" s="7" t="s">
        <v>10</v>
      </c>
    </row>
    <row r="200" spans="1:8">
      <c r="A200" s="7" t="s">
        <v>213</v>
      </c>
      <c r="B200" s="9">
        <v>45884</v>
      </c>
      <c r="C200" s="9" t="b">
        <f t="shared" si="3"/>
        <v>0</v>
      </c>
      <c r="D200" s="7" t="s">
        <v>8</v>
      </c>
      <c r="E200" s="7"/>
      <c r="F200" s="7">
        <v>2</v>
      </c>
      <c r="G200" s="10">
        <v>22.32</v>
      </c>
      <c r="H200" s="7" t="s">
        <v>51</v>
      </c>
    </row>
    <row r="201" spans="1:8">
      <c r="A201" s="7" t="s">
        <v>214</v>
      </c>
      <c r="B201" s="9">
        <v>46022</v>
      </c>
      <c r="C201" s="9" t="b">
        <f t="shared" si="3"/>
        <v>0</v>
      </c>
      <c r="D201" s="7" t="s">
        <v>8</v>
      </c>
      <c r="E201" s="7" t="s">
        <v>13</v>
      </c>
      <c r="F201" s="7">
        <v>1</v>
      </c>
      <c r="G201" s="10">
        <v>63.75</v>
      </c>
      <c r="H201" s="7" t="s">
        <v>14</v>
      </c>
    </row>
    <row r="202" spans="1:8">
      <c r="A202" s="7" t="s">
        <v>215</v>
      </c>
      <c r="B202" s="9">
        <v>46023</v>
      </c>
      <c r="C202" s="9" t="b">
        <f t="shared" si="3"/>
        <v>0</v>
      </c>
      <c r="D202" s="7" t="s">
        <v>8</v>
      </c>
      <c r="E202" s="7" t="s">
        <v>19</v>
      </c>
      <c r="F202" s="7">
        <v>4</v>
      </c>
      <c r="G202" s="10"/>
      <c r="H202" s="7" t="s">
        <v>10</v>
      </c>
    </row>
    <row r="203" spans="1:8">
      <c r="A203" s="7" t="s">
        <v>216</v>
      </c>
      <c r="B203" s="9">
        <v>46035</v>
      </c>
      <c r="C203" s="9" t="b">
        <f t="shared" si="3"/>
        <v>0</v>
      </c>
      <c r="D203" s="7" t="s">
        <v>12</v>
      </c>
      <c r="E203" s="7" t="s">
        <v>9</v>
      </c>
      <c r="F203" s="7">
        <v>2</v>
      </c>
      <c r="G203" s="10">
        <v>25.57</v>
      </c>
      <c r="H203" s="7" t="s">
        <v>10</v>
      </c>
    </row>
    <row r="204" spans="1:8">
      <c r="A204" s="7" t="s">
        <v>168</v>
      </c>
      <c r="B204" s="9">
        <v>45781</v>
      </c>
      <c r="C204" s="9" t="b">
        <f t="shared" si="3"/>
        <v>0</v>
      </c>
      <c r="D204" s="7" t="s">
        <v>8</v>
      </c>
      <c r="E204" s="7" t="s">
        <v>38</v>
      </c>
      <c r="F204" s="7">
        <v>5</v>
      </c>
      <c r="G204" s="10">
        <v>73.55</v>
      </c>
      <c r="H204" s="7" t="s">
        <v>51</v>
      </c>
    </row>
    <row r="205" spans="1:8">
      <c r="A205" s="7" t="s">
        <v>217</v>
      </c>
      <c r="B205" s="9"/>
      <c r="C205" s="9" t="b">
        <f t="shared" si="3"/>
        <v>0</v>
      </c>
      <c r="D205" s="7" t="s">
        <v>12</v>
      </c>
      <c r="E205" s="7" t="s">
        <v>13</v>
      </c>
      <c r="F205" s="7">
        <v>7</v>
      </c>
      <c r="G205" s="10">
        <v>29.41</v>
      </c>
      <c r="H205" s="7" t="s">
        <v>10</v>
      </c>
    </row>
    <row r="206" spans="1:8">
      <c r="A206" s="7" t="s">
        <v>218</v>
      </c>
      <c r="B206" s="9">
        <v>45809</v>
      </c>
      <c r="C206" s="9" t="b">
        <f t="shared" si="3"/>
        <v>0</v>
      </c>
      <c r="D206" s="7" t="s">
        <v>12</v>
      </c>
      <c r="E206" s="7" t="s">
        <v>27</v>
      </c>
      <c r="F206" s="7">
        <v>1</v>
      </c>
      <c r="G206" s="10">
        <v>153.24</v>
      </c>
      <c r="H206" s="7" t="s">
        <v>16</v>
      </c>
    </row>
    <row r="207" spans="1:8">
      <c r="A207" s="7" t="s">
        <v>219</v>
      </c>
      <c r="B207" s="9">
        <v>46116</v>
      </c>
      <c r="C207" s="9" t="b">
        <f t="shared" si="3"/>
        <v>0</v>
      </c>
      <c r="D207" s="7" t="s">
        <v>12</v>
      </c>
      <c r="E207" s="7" t="s">
        <v>13</v>
      </c>
      <c r="F207" s="7">
        <v>2</v>
      </c>
      <c r="G207" s="10"/>
      <c r="H207" s="7" t="s">
        <v>14</v>
      </c>
    </row>
    <row r="208" spans="1:8">
      <c r="A208" s="7" t="s">
        <v>220</v>
      </c>
      <c r="B208" s="9">
        <v>46020</v>
      </c>
      <c r="C208" s="9" t="b">
        <f t="shared" si="3"/>
        <v>0</v>
      </c>
      <c r="D208" s="7" t="s">
        <v>12</v>
      </c>
      <c r="E208" s="7" t="s">
        <v>27</v>
      </c>
      <c r="F208" s="7">
        <v>8</v>
      </c>
      <c r="G208" s="10">
        <v>313.14</v>
      </c>
      <c r="H208" s="7" t="s">
        <v>10</v>
      </c>
    </row>
    <row r="209" spans="1:8">
      <c r="A209" s="7" t="s">
        <v>7</v>
      </c>
      <c r="B209" s="9">
        <v>46070</v>
      </c>
      <c r="C209" s="9" t="b">
        <f t="shared" si="3"/>
        <v>0</v>
      </c>
      <c r="D209" s="7" t="s">
        <v>8</v>
      </c>
      <c r="E209" s="7" t="s">
        <v>9</v>
      </c>
      <c r="F209" s="7">
        <v>2</v>
      </c>
      <c r="G209" s="10">
        <v>19.5</v>
      </c>
      <c r="H209" s="7" t="s">
        <v>10</v>
      </c>
    </row>
    <row r="210" spans="1:8">
      <c r="A210" s="7" t="s">
        <v>221</v>
      </c>
      <c r="B210" s="9">
        <v>46179</v>
      </c>
      <c r="C210" s="9" t="b">
        <f t="shared" si="3"/>
        <v>0</v>
      </c>
      <c r="D210" s="7" t="s">
        <v>8</v>
      </c>
      <c r="E210" s="7" t="s">
        <v>19</v>
      </c>
      <c r="F210" s="7">
        <v>5</v>
      </c>
      <c r="G210" s="10">
        <v>8.39</v>
      </c>
      <c r="H210" s="7" t="s">
        <v>23</v>
      </c>
    </row>
    <row r="211" spans="1:8">
      <c r="A211" s="7" t="s">
        <v>222</v>
      </c>
      <c r="B211" s="9">
        <v>45947</v>
      </c>
      <c r="C211" s="9" t="b">
        <f t="shared" si="3"/>
        <v>0</v>
      </c>
      <c r="D211" s="7"/>
      <c r="E211" s="7" t="s">
        <v>9</v>
      </c>
      <c r="F211" s="7">
        <v>3</v>
      </c>
      <c r="G211" s="10">
        <v>14.47</v>
      </c>
      <c r="H211" s="7" t="s">
        <v>33</v>
      </c>
    </row>
    <row r="212" spans="1:8">
      <c r="A212" s="7" t="s">
        <v>223</v>
      </c>
      <c r="B212" s="9">
        <v>46170</v>
      </c>
      <c r="C212" s="9" t="b">
        <f t="shared" si="3"/>
        <v>0</v>
      </c>
      <c r="D212" s="7" t="s">
        <v>12</v>
      </c>
      <c r="E212" s="7" t="s">
        <v>9</v>
      </c>
      <c r="F212" s="7">
        <v>4</v>
      </c>
      <c r="G212" s="10">
        <v>28.19</v>
      </c>
      <c r="H212" s="7" t="s">
        <v>10</v>
      </c>
    </row>
    <row r="213" spans="1:8">
      <c r="A213" s="7" t="s">
        <v>224</v>
      </c>
      <c r="B213" s="9">
        <v>45946</v>
      </c>
      <c r="C213" s="9" t="b">
        <f t="shared" si="3"/>
        <v>0</v>
      </c>
      <c r="D213" s="7" t="s">
        <v>12</v>
      </c>
      <c r="E213" s="7" t="s">
        <v>27</v>
      </c>
      <c r="F213" s="7">
        <v>1</v>
      </c>
      <c r="G213" s="10">
        <v>247.82</v>
      </c>
      <c r="H213" s="7"/>
    </row>
    <row r="214" spans="1:8">
      <c r="A214" s="7" t="s">
        <v>225</v>
      </c>
      <c r="B214" s="9">
        <v>45767</v>
      </c>
      <c r="C214" s="9" t="b">
        <f t="shared" si="3"/>
        <v>0</v>
      </c>
      <c r="D214" s="7" t="s">
        <v>8</v>
      </c>
      <c r="E214" s="7"/>
      <c r="F214" s="7">
        <v>2</v>
      </c>
      <c r="G214" s="10" t="s">
        <v>226</v>
      </c>
      <c r="H214" s="7" t="s">
        <v>14</v>
      </c>
    </row>
    <row r="215" spans="1:8">
      <c r="A215" s="7" t="s">
        <v>227</v>
      </c>
      <c r="B215" s="9">
        <v>46134</v>
      </c>
      <c r="C215" s="9" t="b">
        <f t="shared" si="3"/>
        <v>0</v>
      </c>
      <c r="D215" s="7" t="s">
        <v>12</v>
      </c>
      <c r="E215" s="7"/>
      <c r="F215" s="7">
        <v>7</v>
      </c>
      <c r="G215" s="10">
        <v>10.7</v>
      </c>
      <c r="H215" s="7" t="s">
        <v>10</v>
      </c>
    </row>
    <row r="216" spans="1:8">
      <c r="A216" s="7" t="s">
        <v>228</v>
      </c>
      <c r="B216" s="9">
        <v>45851</v>
      </c>
      <c r="C216" s="9" t="b">
        <f t="shared" si="3"/>
        <v>0</v>
      </c>
      <c r="D216" s="7" t="s">
        <v>12</v>
      </c>
      <c r="E216" s="7" t="s">
        <v>9</v>
      </c>
      <c r="F216" s="7">
        <v>5</v>
      </c>
      <c r="G216" s="10">
        <v>12.32</v>
      </c>
      <c r="H216" s="7" t="s">
        <v>14</v>
      </c>
    </row>
    <row r="217" spans="1:8">
      <c r="A217" s="7" t="s">
        <v>229</v>
      </c>
      <c r="B217" s="9">
        <v>45715</v>
      </c>
      <c r="C217" s="9" t="b">
        <f t="shared" si="3"/>
        <v>0</v>
      </c>
      <c r="D217" s="7" t="s">
        <v>12</v>
      </c>
      <c r="E217" s="7" t="s">
        <v>9</v>
      </c>
      <c r="F217" s="7">
        <v>1</v>
      </c>
      <c r="G217" s="10">
        <v>20.85</v>
      </c>
      <c r="H217" s="7"/>
    </row>
    <row r="218" spans="1:8">
      <c r="A218" s="7" t="s">
        <v>230</v>
      </c>
      <c r="B218" s="9">
        <v>45746</v>
      </c>
      <c r="C218" s="9" t="b">
        <f t="shared" si="3"/>
        <v>0</v>
      </c>
      <c r="D218" s="7" t="s">
        <v>8</v>
      </c>
      <c r="E218" s="7" t="s">
        <v>27</v>
      </c>
      <c r="F218" s="7">
        <v>1</v>
      </c>
      <c r="G218" s="10">
        <v>235.54</v>
      </c>
      <c r="H218" s="7" t="s">
        <v>16</v>
      </c>
    </row>
    <row r="219" spans="1:8">
      <c r="A219" s="7" t="s">
        <v>231</v>
      </c>
      <c r="B219" s="9">
        <v>46140</v>
      </c>
      <c r="C219" s="9" t="b">
        <f t="shared" si="3"/>
        <v>0</v>
      </c>
      <c r="D219" s="7" t="s">
        <v>8</v>
      </c>
      <c r="E219" s="7" t="s">
        <v>13</v>
      </c>
      <c r="F219" s="7">
        <v>8</v>
      </c>
      <c r="G219" s="10">
        <v>38.53</v>
      </c>
      <c r="H219" s="7" t="s">
        <v>10</v>
      </c>
    </row>
    <row r="220" spans="1:8">
      <c r="A220" s="7" t="s">
        <v>232</v>
      </c>
      <c r="B220" s="9">
        <v>45836</v>
      </c>
      <c r="C220" s="9" t="b">
        <f t="shared" si="3"/>
        <v>0</v>
      </c>
      <c r="D220" s="7" t="s">
        <v>8</v>
      </c>
      <c r="E220" s="7" t="s">
        <v>27</v>
      </c>
      <c r="F220" s="7"/>
      <c r="G220" s="10">
        <v>238.71</v>
      </c>
      <c r="H220" s="7" t="s">
        <v>14</v>
      </c>
    </row>
    <row r="221" spans="1:8">
      <c r="A221" s="7" t="s">
        <v>233</v>
      </c>
      <c r="B221" s="9">
        <v>45725</v>
      </c>
      <c r="C221" s="9" t="b">
        <f t="shared" si="3"/>
        <v>0</v>
      </c>
      <c r="D221" s="7" t="s">
        <v>12</v>
      </c>
      <c r="E221" s="7" t="s">
        <v>27</v>
      </c>
      <c r="F221" s="7"/>
      <c r="G221" s="10">
        <v>225.04</v>
      </c>
      <c r="H221" s="7" t="s">
        <v>10</v>
      </c>
    </row>
    <row r="222" spans="1:8">
      <c r="A222" s="7" t="s">
        <v>234</v>
      </c>
      <c r="B222" s="9">
        <v>45952</v>
      </c>
      <c r="C222" s="9" t="b">
        <f t="shared" si="3"/>
        <v>0</v>
      </c>
      <c r="D222" s="7" t="s">
        <v>12</v>
      </c>
      <c r="E222" s="7" t="s">
        <v>27</v>
      </c>
      <c r="F222" s="7">
        <v>8</v>
      </c>
      <c r="G222" s="10">
        <v>332.65</v>
      </c>
      <c r="H222" s="7" t="s">
        <v>16</v>
      </c>
    </row>
    <row r="223" spans="1:8">
      <c r="A223" s="7" t="s">
        <v>235</v>
      </c>
      <c r="B223" s="9">
        <v>45825</v>
      </c>
      <c r="C223" s="9" t="b">
        <f t="shared" si="3"/>
        <v>0</v>
      </c>
      <c r="D223" s="7" t="s">
        <v>8</v>
      </c>
      <c r="E223" s="7" t="s">
        <v>27</v>
      </c>
      <c r="F223" s="7">
        <v>2</v>
      </c>
      <c r="G223" s="10">
        <v>314.92</v>
      </c>
      <c r="H223" s="7" t="s">
        <v>10</v>
      </c>
    </row>
    <row r="224" spans="1:8">
      <c r="A224" s="7" t="s">
        <v>236</v>
      </c>
      <c r="B224" s="9">
        <v>46110</v>
      </c>
      <c r="C224" s="9" t="b">
        <f t="shared" si="3"/>
        <v>0</v>
      </c>
      <c r="D224" s="7" t="s">
        <v>8</v>
      </c>
      <c r="E224" s="7" t="s">
        <v>38</v>
      </c>
      <c r="F224" s="7">
        <v>2</v>
      </c>
      <c r="G224" s="10">
        <v>134.85</v>
      </c>
      <c r="H224" s="7" t="s">
        <v>16</v>
      </c>
    </row>
    <row r="225" spans="1:8">
      <c r="A225" s="7" t="s">
        <v>237</v>
      </c>
      <c r="B225" s="9">
        <v>45834</v>
      </c>
      <c r="C225" s="9" t="b">
        <f t="shared" si="3"/>
        <v>0</v>
      </c>
      <c r="D225" s="7" t="s">
        <v>12</v>
      </c>
      <c r="E225" s="7" t="s">
        <v>27</v>
      </c>
      <c r="F225" s="7"/>
      <c r="G225" s="10">
        <v>319.92</v>
      </c>
      <c r="H225" s="7" t="s">
        <v>10</v>
      </c>
    </row>
    <row r="226" spans="1:8">
      <c r="A226" s="7" t="s">
        <v>238</v>
      </c>
      <c r="B226" s="9">
        <v>45877</v>
      </c>
      <c r="C226" s="9" t="b">
        <f t="shared" si="3"/>
        <v>0</v>
      </c>
      <c r="D226" s="7" t="s">
        <v>8</v>
      </c>
      <c r="E226" s="7"/>
      <c r="F226" s="7">
        <v>2</v>
      </c>
      <c r="G226" s="10">
        <v>269.2</v>
      </c>
      <c r="H226" s="7" t="s">
        <v>23</v>
      </c>
    </row>
    <row r="227" spans="1:8">
      <c r="A227" s="7" t="s">
        <v>239</v>
      </c>
      <c r="B227" s="9">
        <v>45824</v>
      </c>
      <c r="C227" s="9" t="b">
        <f t="shared" si="3"/>
        <v>0</v>
      </c>
      <c r="D227" s="7" t="s">
        <v>8</v>
      </c>
      <c r="E227" s="7" t="s">
        <v>9</v>
      </c>
      <c r="F227" s="7">
        <v>3</v>
      </c>
      <c r="G227" s="10">
        <v>20.86</v>
      </c>
      <c r="H227" s="7" t="s">
        <v>16</v>
      </c>
    </row>
    <row r="228" spans="1:8">
      <c r="A228" s="7" t="s">
        <v>240</v>
      </c>
      <c r="B228" s="9">
        <v>45825</v>
      </c>
      <c r="C228" s="9" t="b">
        <f t="shared" si="3"/>
        <v>0</v>
      </c>
      <c r="D228" s="7" t="s">
        <v>12</v>
      </c>
      <c r="E228" s="7" t="s">
        <v>27</v>
      </c>
      <c r="F228" s="7">
        <v>3</v>
      </c>
      <c r="G228" s="10">
        <v>2013</v>
      </c>
      <c r="H228" s="7"/>
    </row>
    <row r="229" spans="1:8">
      <c r="A229" s="7" t="s">
        <v>241</v>
      </c>
      <c r="B229" s="9">
        <v>46143</v>
      </c>
      <c r="C229" s="9" t="b">
        <f t="shared" si="3"/>
        <v>0</v>
      </c>
      <c r="D229" s="7" t="s">
        <v>135</v>
      </c>
      <c r="E229" s="7" t="s">
        <v>38</v>
      </c>
      <c r="F229" s="7">
        <v>6</v>
      </c>
      <c r="G229" s="10">
        <v>120.19</v>
      </c>
      <c r="H229" s="7" t="s">
        <v>10</v>
      </c>
    </row>
    <row r="230" spans="1:8">
      <c r="A230" s="7" t="s">
        <v>242</v>
      </c>
      <c r="B230" s="9"/>
      <c r="C230" s="9" t="b">
        <f t="shared" si="3"/>
        <v>0</v>
      </c>
      <c r="D230" s="7" t="s">
        <v>12</v>
      </c>
      <c r="E230" s="7" t="s">
        <v>13</v>
      </c>
      <c r="F230" s="7">
        <v>4</v>
      </c>
      <c r="G230" s="10">
        <v>54.66</v>
      </c>
      <c r="H230" s="7" t="s">
        <v>14</v>
      </c>
    </row>
    <row r="231" spans="1:8">
      <c r="A231" s="7"/>
      <c r="B231" s="9">
        <v>45795</v>
      </c>
      <c r="C231" s="9" t="b">
        <f t="shared" si="3"/>
        <v>0</v>
      </c>
      <c r="D231" s="7" t="s">
        <v>12</v>
      </c>
      <c r="E231" s="7" t="s">
        <v>9</v>
      </c>
      <c r="F231" s="7">
        <v>8</v>
      </c>
      <c r="G231" s="10">
        <v>12.09</v>
      </c>
      <c r="H231" s="7" t="s">
        <v>33</v>
      </c>
    </row>
    <row r="232" spans="1:8">
      <c r="A232" s="7"/>
      <c r="B232" s="9">
        <v>46082</v>
      </c>
      <c r="C232" s="9" t="b">
        <f t="shared" si="3"/>
        <v>0</v>
      </c>
      <c r="D232" s="7" t="s">
        <v>8</v>
      </c>
      <c r="E232" s="7" t="s">
        <v>9</v>
      </c>
      <c r="F232" s="7">
        <v>6</v>
      </c>
      <c r="G232" s="10">
        <v>22.02</v>
      </c>
      <c r="H232" s="7" t="s">
        <v>23</v>
      </c>
    </row>
    <row r="233" spans="1:8">
      <c r="A233" s="7" t="s">
        <v>243</v>
      </c>
      <c r="B233" s="9">
        <v>45955</v>
      </c>
      <c r="C233" s="9" t="b">
        <f t="shared" si="3"/>
        <v>0</v>
      </c>
      <c r="D233" s="7" t="s">
        <v>12</v>
      </c>
      <c r="E233" s="7" t="s">
        <v>19</v>
      </c>
      <c r="F233" s="7">
        <v>8</v>
      </c>
      <c r="G233" s="10">
        <v>8.06</v>
      </c>
      <c r="H233" s="7" t="s">
        <v>14</v>
      </c>
    </row>
    <row r="234" spans="1:8">
      <c r="A234" s="7" t="s">
        <v>222</v>
      </c>
      <c r="B234" s="9">
        <v>45947</v>
      </c>
      <c r="C234" s="9" t="b">
        <f t="shared" si="3"/>
        <v>0</v>
      </c>
      <c r="D234" s="7" t="s">
        <v>8</v>
      </c>
      <c r="E234" s="7" t="s">
        <v>9</v>
      </c>
      <c r="F234" s="7"/>
      <c r="G234" s="10">
        <v>14.47</v>
      </c>
      <c r="H234" s="7" t="s">
        <v>33</v>
      </c>
    </row>
    <row r="235" spans="1:8">
      <c r="A235" s="7" t="s">
        <v>244</v>
      </c>
      <c r="B235" s="9">
        <v>45756</v>
      </c>
      <c r="C235" s="9" t="b">
        <f t="shared" si="3"/>
        <v>0</v>
      </c>
      <c r="D235" s="7" t="s">
        <v>8</v>
      </c>
      <c r="E235" s="7" t="s">
        <v>27</v>
      </c>
      <c r="F235" s="7">
        <v>2</v>
      </c>
      <c r="G235" s="10">
        <v>340</v>
      </c>
      <c r="H235" s="7" t="s">
        <v>33</v>
      </c>
    </row>
    <row r="236" spans="1:8">
      <c r="A236" s="7" t="s">
        <v>245</v>
      </c>
      <c r="B236" s="9">
        <v>45802</v>
      </c>
      <c r="C236" s="9" t="b">
        <f t="shared" si="3"/>
        <v>0</v>
      </c>
      <c r="D236" s="7" t="s">
        <v>8</v>
      </c>
      <c r="E236" s="7" t="s">
        <v>9</v>
      </c>
      <c r="F236" s="7">
        <v>2</v>
      </c>
      <c r="G236" s="10">
        <v>16.940000000000001</v>
      </c>
      <c r="H236" s="7"/>
    </row>
    <row r="237" spans="1:8">
      <c r="A237" s="7" t="s">
        <v>246</v>
      </c>
      <c r="B237" s="9">
        <v>46088</v>
      </c>
      <c r="C237" s="9" t="b">
        <f t="shared" si="3"/>
        <v>0</v>
      </c>
      <c r="D237" s="7" t="s">
        <v>247</v>
      </c>
      <c r="E237" s="7" t="s">
        <v>19</v>
      </c>
      <c r="F237" s="7">
        <v>4</v>
      </c>
      <c r="G237" s="10">
        <v>10.54</v>
      </c>
      <c r="H237" s="7" t="s">
        <v>10</v>
      </c>
    </row>
    <row r="238" spans="1:8">
      <c r="A238" s="7" t="s">
        <v>248</v>
      </c>
      <c r="B238" s="9">
        <v>45749</v>
      </c>
      <c r="C238" s="9" t="b">
        <f t="shared" si="3"/>
        <v>0</v>
      </c>
      <c r="D238" s="7" t="s">
        <v>12</v>
      </c>
      <c r="E238" s="7" t="s">
        <v>27</v>
      </c>
      <c r="F238" s="7">
        <v>2</v>
      </c>
      <c r="G238" s="10">
        <v>165.11</v>
      </c>
      <c r="H238" s="7" t="s">
        <v>33</v>
      </c>
    </row>
    <row r="239" spans="1:8">
      <c r="A239" s="7" t="s">
        <v>249</v>
      </c>
      <c r="B239" s="9">
        <v>45961</v>
      </c>
      <c r="C239" s="9" t="b">
        <f t="shared" si="3"/>
        <v>0</v>
      </c>
      <c r="D239" s="7" t="s">
        <v>12</v>
      </c>
      <c r="E239" s="7" t="s">
        <v>9</v>
      </c>
      <c r="F239" s="7">
        <v>5</v>
      </c>
      <c r="G239" s="10">
        <v>22.34</v>
      </c>
      <c r="H239" s="7" t="s">
        <v>16</v>
      </c>
    </row>
    <row r="240" spans="1:8">
      <c r="A240" s="7" t="s">
        <v>250</v>
      </c>
      <c r="B240" s="9">
        <v>46219</v>
      </c>
      <c r="C240" s="9" t="b">
        <f t="shared" si="3"/>
        <v>0</v>
      </c>
      <c r="D240" s="7" t="s">
        <v>12</v>
      </c>
      <c r="E240" s="7" t="s">
        <v>9</v>
      </c>
      <c r="F240" s="7">
        <v>2</v>
      </c>
      <c r="G240" s="10">
        <v>13.02</v>
      </c>
      <c r="H240" s="7" t="s">
        <v>10</v>
      </c>
    </row>
    <row r="241" spans="1:8">
      <c r="A241" s="7" t="s">
        <v>251</v>
      </c>
      <c r="B241" s="9">
        <v>46061</v>
      </c>
      <c r="C241" s="9" t="b">
        <f t="shared" si="3"/>
        <v>0</v>
      </c>
      <c r="D241" s="7" t="s">
        <v>12</v>
      </c>
      <c r="E241" s="7" t="s">
        <v>9</v>
      </c>
      <c r="F241" s="7">
        <v>8</v>
      </c>
      <c r="G241" s="10">
        <v>23.29</v>
      </c>
      <c r="H241" s="7" t="s">
        <v>51</v>
      </c>
    </row>
    <row r="242" spans="1:8">
      <c r="A242" s="7" t="s">
        <v>252</v>
      </c>
      <c r="B242" s="9">
        <v>45680</v>
      </c>
      <c r="C242" s="9" t="b">
        <f t="shared" si="3"/>
        <v>0</v>
      </c>
      <c r="D242" s="7" t="s">
        <v>8</v>
      </c>
      <c r="E242" s="7" t="s">
        <v>9</v>
      </c>
      <c r="F242" s="7">
        <v>3</v>
      </c>
      <c r="G242" s="10">
        <v>24.22</v>
      </c>
      <c r="H242" s="7" t="s">
        <v>10</v>
      </c>
    </row>
    <row r="243" spans="1:8">
      <c r="A243" s="7" t="s">
        <v>253</v>
      </c>
      <c r="B243" s="9">
        <v>45889</v>
      </c>
      <c r="C243" s="9" t="b">
        <f t="shared" si="3"/>
        <v>0</v>
      </c>
      <c r="D243" s="7" t="s">
        <v>8</v>
      </c>
      <c r="E243" s="7" t="s">
        <v>9</v>
      </c>
      <c r="F243" s="7">
        <v>8</v>
      </c>
      <c r="G243" s="10">
        <v>21.72</v>
      </c>
      <c r="H243" s="7" t="s">
        <v>14</v>
      </c>
    </row>
    <row r="244" spans="1:8">
      <c r="A244" s="7" t="s">
        <v>254</v>
      </c>
      <c r="B244" s="9">
        <v>45934</v>
      </c>
      <c r="C244" s="9" t="b">
        <f t="shared" si="3"/>
        <v>0</v>
      </c>
      <c r="D244" s="7"/>
      <c r="E244" s="7" t="s">
        <v>9</v>
      </c>
      <c r="F244" s="7">
        <v>1</v>
      </c>
      <c r="G244" s="10">
        <v>12.01</v>
      </c>
      <c r="H244" s="7" t="s">
        <v>10</v>
      </c>
    </row>
    <row r="245" spans="1:8">
      <c r="A245" s="7" t="s">
        <v>206</v>
      </c>
      <c r="B245" s="9">
        <v>45832</v>
      </c>
      <c r="C245" s="9" t="b">
        <f t="shared" si="3"/>
        <v>0</v>
      </c>
      <c r="D245" s="7" t="s">
        <v>12</v>
      </c>
      <c r="E245" s="7" t="s">
        <v>13</v>
      </c>
      <c r="F245" s="7">
        <v>3</v>
      </c>
      <c r="G245" s="10">
        <v>46.32</v>
      </c>
      <c r="H245" s="7" t="s">
        <v>51</v>
      </c>
    </row>
    <row r="246" spans="1:8">
      <c r="A246" s="7" t="s">
        <v>255</v>
      </c>
      <c r="B246" s="9">
        <v>45955</v>
      </c>
      <c r="C246" s="9" t="b">
        <f t="shared" si="3"/>
        <v>0</v>
      </c>
      <c r="D246" s="7" t="s">
        <v>12</v>
      </c>
      <c r="E246" s="7" t="s">
        <v>27</v>
      </c>
      <c r="F246" s="7">
        <v>7</v>
      </c>
      <c r="G246" s="10">
        <v>132.63</v>
      </c>
      <c r="H246" s="7" t="s">
        <v>14</v>
      </c>
    </row>
    <row r="247" spans="1:8">
      <c r="A247" s="7" t="s">
        <v>256</v>
      </c>
      <c r="B247" s="9">
        <v>45977</v>
      </c>
      <c r="C247" s="9" t="b">
        <f t="shared" si="3"/>
        <v>0</v>
      </c>
      <c r="D247" s="7" t="s">
        <v>12</v>
      </c>
      <c r="E247" s="7" t="s">
        <v>13</v>
      </c>
      <c r="F247" s="7">
        <v>2</v>
      </c>
      <c r="G247" s="10">
        <v>52.79</v>
      </c>
      <c r="H247" s="7" t="s">
        <v>23</v>
      </c>
    </row>
    <row r="248" spans="1:8">
      <c r="A248" s="7" t="s">
        <v>257</v>
      </c>
      <c r="B248" s="9">
        <v>45762</v>
      </c>
      <c r="C248" s="9" t="b">
        <f t="shared" si="3"/>
        <v>0</v>
      </c>
      <c r="D248" s="7" t="s">
        <v>12</v>
      </c>
      <c r="E248" s="7" t="s">
        <v>9</v>
      </c>
      <c r="F248" s="7">
        <v>6</v>
      </c>
      <c r="G248" s="10">
        <v>13.68</v>
      </c>
      <c r="H248" s="7" t="s">
        <v>10</v>
      </c>
    </row>
    <row r="249" spans="1:8">
      <c r="A249" s="7" t="s">
        <v>258</v>
      </c>
      <c r="B249" s="9">
        <v>46208</v>
      </c>
      <c r="C249" s="9" t="b">
        <f t="shared" si="3"/>
        <v>0</v>
      </c>
      <c r="D249" s="7" t="s">
        <v>12</v>
      </c>
      <c r="E249" s="7" t="s">
        <v>9</v>
      </c>
      <c r="F249" s="7">
        <v>3</v>
      </c>
      <c r="G249" s="10"/>
      <c r="H249" s="7" t="s">
        <v>14</v>
      </c>
    </row>
    <row r="250" spans="1:8">
      <c r="A250" s="7" t="s">
        <v>259</v>
      </c>
      <c r="B250" s="9">
        <v>45740</v>
      </c>
      <c r="C250" s="9" t="b">
        <f t="shared" si="3"/>
        <v>0</v>
      </c>
      <c r="D250" s="7"/>
      <c r="E250" s="7" t="s">
        <v>13</v>
      </c>
      <c r="F250" s="7">
        <v>6</v>
      </c>
      <c r="G250" s="10">
        <v>32.770000000000003</v>
      </c>
      <c r="H250" s="7" t="s">
        <v>14</v>
      </c>
    </row>
    <row r="251" spans="1:8">
      <c r="A251" s="7" t="s">
        <v>260</v>
      </c>
      <c r="B251" s="9">
        <v>45860</v>
      </c>
      <c r="C251" s="9" t="b">
        <f t="shared" si="3"/>
        <v>0</v>
      </c>
      <c r="D251" s="7" t="s">
        <v>8</v>
      </c>
      <c r="E251" s="7" t="s">
        <v>19</v>
      </c>
      <c r="F251" s="7">
        <v>2</v>
      </c>
      <c r="G251" s="10">
        <v>5.6</v>
      </c>
      <c r="H251" s="7"/>
    </row>
    <row r="252" spans="1:8">
      <c r="A252" s="7" t="s">
        <v>261</v>
      </c>
      <c r="B252" s="9">
        <v>45993</v>
      </c>
      <c r="C252" s="9" t="b">
        <f t="shared" si="3"/>
        <v>0</v>
      </c>
      <c r="D252" s="7" t="s">
        <v>8</v>
      </c>
      <c r="E252" s="7" t="s">
        <v>27</v>
      </c>
      <c r="F252" s="7">
        <v>6</v>
      </c>
      <c r="G252" s="10">
        <v>265.89999999999998</v>
      </c>
      <c r="H252" s="7" t="s">
        <v>23</v>
      </c>
    </row>
    <row r="253" spans="1:8">
      <c r="A253" s="7" t="s">
        <v>262</v>
      </c>
      <c r="B253" s="9">
        <v>45935</v>
      </c>
      <c r="C253" s="9" t="b">
        <f t="shared" si="3"/>
        <v>0</v>
      </c>
      <c r="D253" s="7"/>
      <c r="E253" s="7" t="s">
        <v>9</v>
      </c>
      <c r="F253" s="7">
        <v>2</v>
      </c>
      <c r="G253" s="10">
        <v>27.38</v>
      </c>
      <c r="H253" s="7" t="s">
        <v>14</v>
      </c>
    </row>
    <row r="254" spans="1:8">
      <c r="A254" s="7"/>
      <c r="B254" s="9">
        <v>45997</v>
      </c>
      <c r="C254" s="9" t="b">
        <f t="shared" si="3"/>
        <v>0</v>
      </c>
      <c r="D254" s="7" t="s">
        <v>8</v>
      </c>
      <c r="E254" s="7" t="s">
        <v>27</v>
      </c>
      <c r="F254" s="7">
        <v>3</v>
      </c>
      <c r="G254" s="10">
        <v>280.95</v>
      </c>
      <c r="H254" s="7" t="s">
        <v>10</v>
      </c>
    </row>
    <row r="255" spans="1:8">
      <c r="A255" s="7" t="s">
        <v>263</v>
      </c>
      <c r="B255" s="9">
        <v>45784</v>
      </c>
      <c r="C255" s="9" t="b">
        <f t="shared" si="3"/>
        <v>0</v>
      </c>
      <c r="D255" s="7" t="s">
        <v>12</v>
      </c>
      <c r="E255" s="7" t="s">
        <v>27</v>
      </c>
      <c r="F255" s="7">
        <v>6</v>
      </c>
      <c r="G255" s="10">
        <v>255.37</v>
      </c>
      <c r="H255" s="7" t="s">
        <v>14</v>
      </c>
    </row>
    <row r="256" spans="1:8">
      <c r="A256" s="7" t="s">
        <v>264</v>
      </c>
      <c r="B256" s="9">
        <v>46170</v>
      </c>
      <c r="C256" s="9" t="b">
        <f t="shared" si="3"/>
        <v>0</v>
      </c>
      <c r="D256" s="7" t="s">
        <v>12</v>
      </c>
      <c r="E256" s="7" t="s">
        <v>27</v>
      </c>
      <c r="F256" s="7"/>
      <c r="G256" s="10">
        <v>270.89</v>
      </c>
      <c r="H256" s="7" t="s">
        <v>14</v>
      </c>
    </row>
    <row r="257" spans="1:8">
      <c r="A257" s="7" t="s">
        <v>265</v>
      </c>
      <c r="B257" s="9">
        <v>45976</v>
      </c>
      <c r="C257" s="9" t="b">
        <f t="shared" si="3"/>
        <v>0</v>
      </c>
      <c r="D257" s="7" t="s">
        <v>8</v>
      </c>
      <c r="E257" s="7" t="s">
        <v>9</v>
      </c>
      <c r="F257" s="7">
        <v>6</v>
      </c>
      <c r="G257" s="10">
        <v>26.62</v>
      </c>
      <c r="H257" s="7" t="s">
        <v>51</v>
      </c>
    </row>
    <row r="258" spans="1:8">
      <c r="A258" s="7" t="s">
        <v>266</v>
      </c>
      <c r="B258" s="9">
        <v>45937</v>
      </c>
      <c r="C258" s="9" t="b">
        <f t="shared" si="3"/>
        <v>0</v>
      </c>
      <c r="D258" s="7" t="s">
        <v>12</v>
      </c>
      <c r="E258" s="7" t="s">
        <v>38</v>
      </c>
      <c r="F258" s="7">
        <v>5</v>
      </c>
      <c r="G258" s="10">
        <v>113.84</v>
      </c>
      <c r="H258" s="7" t="s">
        <v>14</v>
      </c>
    </row>
    <row r="259" spans="1:8">
      <c r="A259" s="7" t="s">
        <v>267</v>
      </c>
      <c r="B259" s="9">
        <v>45882</v>
      </c>
      <c r="C259" s="9" t="b">
        <f t="shared" ref="C259:C301" si="4">OR(LEFT(H259,1)=" ", RIGHT(H259,1)=" ")</f>
        <v>0</v>
      </c>
      <c r="D259" s="7" t="s">
        <v>12</v>
      </c>
      <c r="E259" s="7" t="s">
        <v>13</v>
      </c>
      <c r="F259" s="7">
        <v>3</v>
      </c>
      <c r="G259" s="10">
        <v>65.849999999999994</v>
      </c>
      <c r="H259" s="7" t="s">
        <v>10</v>
      </c>
    </row>
    <row r="260" spans="1:8">
      <c r="A260" s="7" t="s">
        <v>268</v>
      </c>
      <c r="B260" s="9">
        <v>45977</v>
      </c>
      <c r="C260" s="9" t="b">
        <f t="shared" si="4"/>
        <v>0</v>
      </c>
      <c r="D260" s="7"/>
      <c r="E260" s="7" t="s">
        <v>38</v>
      </c>
      <c r="F260" s="7">
        <v>1</v>
      </c>
      <c r="G260" s="10">
        <v>75.39</v>
      </c>
      <c r="H260" s="7" t="s">
        <v>269</v>
      </c>
    </row>
    <row r="261" spans="1:8">
      <c r="A261" s="7" t="s">
        <v>270</v>
      </c>
      <c r="B261" s="9">
        <v>45933</v>
      </c>
      <c r="C261" s="9" t="b">
        <f t="shared" si="4"/>
        <v>0</v>
      </c>
      <c r="D261" s="7" t="s">
        <v>12</v>
      </c>
      <c r="E261" s="7" t="s">
        <v>27</v>
      </c>
      <c r="F261" s="7">
        <v>2</v>
      </c>
      <c r="G261" s="10">
        <v>187.79</v>
      </c>
      <c r="H261" s="7" t="s">
        <v>10</v>
      </c>
    </row>
    <row r="262" spans="1:8">
      <c r="A262" s="7" t="s">
        <v>271</v>
      </c>
      <c r="B262" s="9">
        <v>45911</v>
      </c>
      <c r="C262" s="9" t="b">
        <f t="shared" si="4"/>
        <v>0</v>
      </c>
      <c r="D262" s="7" t="s">
        <v>8</v>
      </c>
      <c r="E262" s="7" t="s">
        <v>19</v>
      </c>
      <c r="F262" s="7">
        <v>3</v>
      </c>
      <c r="G262" s="10">
        <v>9.18</v>
      </c>
      <c r="H262" s="7" t="s">
        <v>16</v>
      </c>
    </row>
    <row r="263" spans="1:8">
      <c r="A263" s="7" t="s">
        <v>272</v>
      </c>
      <c r="B263" s="9">
        <v>46048</v>
      </c>
      <c r="C263" s="9" t="b">
        <f t="shared" si="4"/>
        <v>0</v>
      </c>
      <c r="D263" s="7" t="s">
        <v>12</v>
      </c>
      <c r="E263" s="7" t="s">
        <v>27</v>
      </c>
      <c r="F263" s="7">
        <v>8</v>
      </c>
      <c r="G263" s="10">
        <v>186.36</v>
      </c>
      <c r="H263" s="7" t="s">
        <v>10</v>
      </c>
    </row>
    <row r="264" spans="1:8">
      <c r="A264" s="7" t="s">
        <v>273</v>
      </c>
      <c r="B264" s="9">
        <v>45781</v>
      </c>
      <c r="C264" s="9" t="b">
        <f t="shared" si="4"/>
        <v>0</v>
      </c>
      <c r="D264" s="7" t="s">
        <v>12</v>
      </c>
      <c r="E264" s="7" t="s">
        <v>38</v>
      </c>
      <c r="F264" s="7">
        <v>3</v>
      </c>
      <c r="G264" s="10">
        <v>95.25</v>
      </c>
      <c r="H264" s="7" t="s">
        <v>16</v>
      </c>
    </row>
    <row r="265" spans="1:8">
      <c r="A265" s="7" t="s">
        <v>274</v>
      </c>
      <c r="B265" s="9">
        <v>45694</v>
      </c>
      <c r="C265" s="9" t="b">
        <f t="shared" si="4"/>
        <v>0</v>
      </c>
      <c r="D265" s="7" t="s">
        <v>12</v>
      </c>
      <c r="E265" s="7" t="s">
        <v>9</v>
      </c>
      <c r="F265" s="7">
        <v>2</v>
      </c>
      <c r="G265" s="10">
        <v>24.06</v>
      </c>
      <c r="H265" s="7" t="s">
        <v>10</v>
      </c>
    </row>
    <row r="266" spans="1:8">
      <c r="A266" s="7" t="s">
        <v>275</v>
      </c>
      <c r="B266" s="9">
        <v>46131</v>
      </c>
      <c r="C266" s="9" t="b">
        <f t="shared" si="4"/>
        <v>0</v>
      </c>
      <c r="D266" s="7" t="s">
        <v>12</v>
      </c>
      <c r="E266" s="7" t="s">
        <v>38</v>
      </c>
      <c r="F266" s="7">
        <v>5</v>
      </c>
      <c r="G266" s="10">
        <v>93.44</v>
      </c>
      <c r="H266" s="7" t="s">
        <v>14</v>
      </c>
    </row>
    <row r="267" spans="1:8">
      <c r="A267" s="7" t="s">
        <v>276</v>
      </c>
      <c r="B267" s="9">
        <v>46076</v>
      </c>
      <c r="C267" s="9" t="b">
        <f t="shared" si="4"/>
        <v>0</v>
      </c>
      <c r="D267" s="7" t="s">
        <v>12</v>
      </c>
      <c r="E267" s="7" t="s">
        <v>38</v>
      </c>
      <c r="F267" s="7">
        <v>1</v>
      </c>
      <c r="G267" s="10">
        <v>128.38999999999999</v>
      </c>
      <c r="H267" s="7" t="s">
        <v>16</v>
      </c>
    </row>
    <row r="268" spans="1:8">
      <c r="A268" s="7" t="s">
        <v>277</v>
      </c>
      <c r="B268" s="9">
        <v>45735</v>
      </c>
      <c r="C268" s="9" t="b">
        <f t="shared" si="4"/>
        <v>0</v>
      </c>
      <c r="D268" s="7" t="s">
        <v>8</v>
      </c>
      <c r="E268" s="7" t="s">
        <v>27</v>
      </c>
      <c r="F268" s="7">
        <v>2</v>
      </c>
      <c r="G268" s="10">
        <v>157.30000000000001</v>
      </c>
      <c r="H268" s="7" t="s">
        <v>10</v>
      </c>
    </row>
    <row r="269" spans="1:8">
      <c r="A269" s="7" t="s">
        <v>278</v>
      </c>
      <c r="B269" s="9">
        <v>46011</v>
      </c>
      <c r="C269" s="9" t="b">
        <f t="shared" si="4"/>
        <v>0</v>
      </c>
      <c r="D269" s="7" t="s">
        <v>8</v>
      </c>
      <c r="E269" s="7" t="s">
        <v>38</v>
      </c>
      <c r="F269" s="7">
        <v>2</v>
      </c>
      <c r="G269" s="10">
        <v>68.16</v>
      </c>
      <c r="H269" s="7" t="s">
        <v>23</v>
      </c>
    </row>
    <row r="270" spans="1:8">
      <c r="A270" s="7" t="s">
        <v>279</v>
      </c>
      <c r="B270" s="9">
        <v>45800</v>
      </c>
      <c r="C270" s="9" t="b">
        <f t="shared" si="4"/>
        <v>0</v>
      </c>
      <c r="D270" s="7" t="s">
        <v>8</v>
      </c>
      <c r="E270" s="7" t="s">
        <v>27</v>
      </c>
      <c r="F270" s="7">
        <v>4</v>
      </c>
      <c r="G270" s="10">
        <v>249.79</v>
      </c>
      <c r="H270" s="7" t="s">
        <v>23</v>
      </c>
    </row>
    <row r="271" spans="1:8">
      <c r="A271" s="7" t="s">
        <v>280</v>
      </c>
      <c r="B271" s="9">
        <v>46095</v>
      </c>
      <c r="C271" s="9" t="b">
        <f t="shared" si="4"/>
        <v>0</v>
      </c>
      <c r="D271" s="7" t="s">
        <v>135</v>
      </c>
      <c r="E271" s="7" t="s">
        <v>13</v>
      </c>
      <c r="F271" s="7"/>
      <c r="G271" s="10">
        <v>45.3</v>
      </c>
      <c r="H271" s="7" t="s">
        <v>14</v>
      </c>
    </row>
    <row r="272" spans="1:8">
      <c r="A272" s="7" t="s">
        <v>281</v>
      </c>
      <c r="B272" s="9">
        <v>45938</v>
      </c>
      <c r="C272" s="9" t="b">
        <f t="shared" si="4"/>
        <v>0</v>
      </c>
      <c r="D272" s="7" t="s">
        <v>12</v>
      </c>
      <c r="E272" s="7" t="s">
        <v>9</v>
      </c>
      <c r="F272" s="7">
        <v>3</v>
      </c>
      <c r="G272" s="10">
        <v>26.08</v>
      </c>
      <c r="H272" s="7" t="s">
        <v>10</v>
      </c>
    </row>
    <row r="273" spans="1:8">
      <c r="A273" s="7" t="s">
        <v>282</v>
      </c>
      <c r="B273" s="9">
        <v>46224</v>
      </c>
      <c r="C273" s="9" t="b">
        <f t="shared" si="4"/>
        <v>0</v>
      </c>
      <c r="D273" s="7"/>
      <c r="E273" s="7" t="s">
        <v>38</v>
      </c>
      <c r="F273" s="7">
        <v>6</v>
      </c>
      <c r="G273" s="10">
        <v>52.87</v>
      </c>
      <c r="H273" s="7" t="s">
        <v>33</v>
      </c>
    </row>
    <row r="274" spans="1:8">
      <c r="A274" s="7" t="s">
        <v>283</v>
      </c>
      <c r="B274" s="9">
        <v>46070</v>
      </c>
      <c r="C274" s="9" t="b">
        <f t="shared" si="4"/>
        <v>0</v>
      </c>
      <c r="D274" s="7" t="s">
        <v>8</v>
      </c>
      <c r="E274" s="7" t="s">
        <v>38</v>
      </c>
      <c r="F274" s="7">
        <v>7</v>
      </c>
      <c r="G274" s="10">
        <v>74.180000000000007</v>
      </c>
      <c r="H274" s="7"/>
    </row>
    <row r="275" spans="1:8">
      <c r="A275" s="7"/>
      <c r="B275" s="9">
        <v>45806</v>
      </c>
      <c r="C275" s="9" t="b">
        <f t="shared" si="4"/>
        <v>0</v>
      </c>
      <c r="D275" s="7" t="s">
        <v>12</v>
      </c>
      <c r="E275" s="7" t="s">
        <v>13</v>
      </c>
      <c r="F275" s="7">
        <v>6</v>
      </c>
      <c r="G275" s="10">
        <v>62.1</v>
      </c>
      <c r="H275" s="7" t="s">
        <v>23</v>
      </c>
    </row>
    <row r="276" spans="1:8">
      <c r="A276" s="7" t="s">
        <v>284</v>
      </c>
      <c r="B276" s="9">
        <v>45908</v>
      </c>
      <c r="C276" s="9" t="b">
        <f t="shared" si="4"/>
        <v>0</v>
      </c>
      <c r="D276" s="7" t="s">
        <v>8</v>
      </c>
      <c r="E276" s="7" t="s">
        <v>38</v>
      </c>
      <c r="F276" s="7">
        <v>3</v>
      </c>
      <c r="G276" s="10">
        <v>103.71</v>
      </c>
      <c r="H276" s="7" t="s">
        <v>10</v>
      </c>
    </row>
    <row r="277" spans="1:8">
      <c r="A277" s="7" t="s">
        <v>285</v>
      </c>
      <c r="B277" s="9">
        <v>46171</v>
      </c>
      <c r="C277" s="9" t="b">
        <f t="shared" si="4"/>
        <v>0</v>
      </c>
      <c r="D277" s="7" t="s">
        <v>8</v>
      </c>
      <c r="E277" s="7" t="s">
        <v>13</v>
      </c>
      <c r="F277" s="7">
        <v>5</v>
      </c>
      <c r="G277" s="10">
        <v>67.28</v>
      </c>
      <c r="H277" s="7" t="s">
        <v>10</v>
      </c>
    </row>
    <row r="278" spans="1:8">
      <c r="A278" s="7" t="s">
        <v>286</v>
      </c>
      <c r="B278" s="9">
        <v>46225</v>
      </c>
      <c r="C278" s="9" t="b">
        <f t="shared" si="4"/>
        <v>0</v>
      </c>
      <c r="D278" s="7"/>
      <c r="E278" s="7" t="s">
        <v>27</v>
      </c>
      <c r="F278" s="7">
        <v>7</v>
      </c>
      <c r="G278" s="10">
        <v>180.56</v>
      </c>
      <c r="H278" s="7" t="s">
        <v>14</v>
      </c>
    </row>
    <row r="279" spans="1:8">
      <c r="A279" s="7" t="s">
        <v>287</v>
      </c>
      <c r="B279" s="9">
        <v>45709</v>
      </c>
      <c r="C279" s="9" t="b">
        <f t="shared" si="4"/>
        <v>0</v>
      </c>
      <c r="D279" s="7"/>
      <c r="E279" s="7" t="s">
        <v>27</v>
      </c>
      <c r="F279" s="7">
        <v>7</v>
      </c>
      <c r="G279" s="10">
        <v>148.72999999999999</v>
      </c>
      <c r="H279" s="7" t="s">
        <v>10</v>
      </c>
    </row>
    <row r="280" spans="1:8">
      <c r="A280" s="7" t="s">
        <v>288</v>
      </c>
      <c r="B280" s="9">
        <v>45937</v>
      </c>
      <c r="C280" s="9" t="b">
        <f t="shared" si="4"/>
        <v>0</v>
      </c>
      <c r="D280" s="7" t="s">
        <v>12</v>
      </c>
      <c r="E280" s="7" t="s">
        <v>9</v>
      </c>
      <c r="F280" s="7">
        <v>8</v>
      </c>
      <c r="G280" s="10">
        <v>16.79</v>
      </c>
      <c r="H280" s="7" t="s">
        <v>289</v>
      </c>
    </row>
    <row r="281" spans="1:8">
      <c r="A281" s="7" t="s">
        <v>116</v>
      </c>
      <c r="B281" s="9">
        <v>45953</v>
      </c>
      <c r="C281" s="9" t="b">
        <f t="shared" si="4"/>
        <v>0</v>
      </c>
      <c r="D281" s="7" t="s">
        <v>8</v>
      </c>
      <c r="E281" s="7" t="s">
        <v>9</v>
      </c>
      <c r="F281" s="7">
        <v>6</v>
      </c>
      <c r="G281" s="10">
        <v>25.06</v>
      </c>
      <c r="H281" s="7" t="s">
        <v>51</v>
      </c>
    </row>
    <row r="282" spans="1:8">
      <c r="A282" s="7"/>
      <c r="B282" s="9">
        <v>46045</v>
      </c>
      <c r="C282" s="9" t="b">
        <f t="shared" si="4"/>
        <v>0</v>
      </c>
      <c r="D282" s="7" t="s">
        <v>8</v>
      </c>
      <c r="E282" s="7" t="s">
        <v>9</v>
      </c>
      <c r="F282" s="7">
        <v>5</v>
      </c>
      <c r="G282" s="10">
        <v>17.73</v>
      </c>
      <c r="H282" s="7" t="s">
        <v>51</v>
      </c>
    </row>
    <row r="283" spans="1:8">
      <c r="A283" s="7" t="s">
        <v>290</v>
      </c>
      <c r="B283" s="9">
        <v>46032</v>
      </c>
      <c r="C283" s="9" t="b">
        <f t="shared" si="4"/>
        <v>0</v>
      </c>
      <c r="D283" s="7" t="s">
        <v>8</v>
      </c>
      <c r="E283" s="7" t="s">
        <v>13</v>
      </c>
      <c r="F283" s="7">
        <v>7</v>
      </c>
      <c r="G283" s="10">
        <v>53.22</v>
      </c>
      <c r="H283" s="7" t="s">
        <v>269</v>
      </c>
    </row>
    <row r="284" spans="1:8">
      <c r="A284" s="7" t="s">
        <v>291</v>
      </c>
      <c r="B284" s="9">
        <v>46091</v>
      </c>
      <c r="C284" s="9" t="b">
        <f t="shared" si="4"/>
        <v>0</v>
      </c>
      <c r="D284" s="7" t="s">
        <v>8</v>
      </c>
      <c r="E284" s="7" t="s">
        <v>19</v>
      </c>
      <c r="F284" s="7">
        <v>7</v>
      </c>
      <c r="G284" s="10"/>
      <c r="H284" s="7" t="s">
        <v>10</v>
      </c>
    </row>
    <row r="285" spans="1:8">
      <c r="A285" s="7" t="s">
        <v>292</v>
      </c>
      <c r="B285" s="9">
        <v>45978</v>
      </c>
      <c r="C285" s="9" t="b">
        <f t="shared" si="4"/>
        <v>0</v>
      </c>
      <c r="D285" s="7" t="s">
        <v>8</v>
      </c>
      <c r="E285" s="7"/>
      <c r="F285" s="7">
        <v>3</v>
      </c>
      <c r="G285" s="10">
        <v>158.86000000000001</v>
      </c>
      <c r="H285" s="7" t="s">
        <v>16</v>
      </c>
    </row>
    <row r="286" spans="1:8">
      <c r="A286" s="7" t="s">
        <v>293</v>
      </c>
      <c r="B286" s="9">
        <v>45806</v>
      </c>
      <c r="C286" s="9" t="b">
        <f t="shared" si="4"/>
        <v>0</v>
      </c>
      <c r="D286" s="7" t="s">
        <v>12</v>
      </c>
      <c r="E286" s="7" t="s">
        <v>27</v>
      </c>
      <c r="F286" s="7">
        <v>8</v>
      </c>
      <c r="G286" s="10">
        <v>291.13</v>
      </c>
      <c r="H286" s="7" t="s">
        <v>10</v>
      </c>
    </row>
    <row r="287" spans="1:8">
      <c r="A287" s="7" t="s">
        <v>294</v>
      </c>
      <c r="B287" s="9">
        <v>45875</v>
      </c>
      <c r="C287" s="9" t="b">
        <f t="shared" si="4"/>
        <v>0</v>
      </c>
      <c r="D287" s="7" t="s">
        <v>12</v>
      </c>
      <c r="E287" s="7" t="s">
        <v>13</v>
      </c>
      <c r="F287" s="7"/>
      <c r="G287" s="10">
        <v>69.709999999999994</v>
      </c>
      <c r="H287" s="7" t="s">
        <v>16</v>
      </c>
    </row>
    <row r="288" spans="1:8">
      <c r="A288" s="7" t="s">
        <v>295</v>
      </c>
      <c r="B288" s="9">
        <v>45883</v>
      </c>
      <c r="C288" s="9" t="b">
        <f t="shared" si="4"/>
        <v>0</v>
      </c>
      <c r="D288" s="7" t="s">
        <v>12</v>
      </c>
      <c r="E288" s="7" t="s">
        <v>27</v>
      </c>
      <c r="F288" s="7">
        <v>8</v>
      </c>
      <c r="G288" s="10">
        <v>129.69</v>
      </c>
      <c r="H288" s="7" t="s">
        <v>10</v>
      </c>
    </row>
    <row r="289" spans="1:8">
      <c r="A289" s="7" t="s">
        <v>296</v>
      </c>
      <c r="B289" s="9">
        <v>46154</v>
      </c>
      <c r="C289" s="9" t="b">
        <f t="shared" si="4"/>
        <v>0</v>
      </c>
      <c r="D289" s="7" t="s">
        <v>12</v>
      </c>
      <c r="E289" s="7" t="s">
        <v>13</v>
      </c>
      <c r="F289" s="7">
        <v>4</v>
      </c>
      <c r="G289" s="10">
        <v>48.88</v>
      </c>
      <c r="H289" s="7" t="s">
        <v>33</v>
      </c>
    </row>
    <row r="290" spans="1:8">
      <c r="A290" s="7" t="s">
        <v>297</v>
      </c>
      <c r="B290" s="9">
        <v>46083</v>
      </c>
      <c r="C290" s="9" t="b">
        <f t="shared" si="4"/>
        <v>0</v>
      </c>
      <c r="D290" s="7" t="s">
        <v>8</v>
      </c>
      <c r="E290" s="7" t="s">
        <v>27</v>
      </c>
      <c r="F290" s="7">
        <v>1</v>
      </c>
      <c r="G290" s="10"/>
      <c r="H290" s="7" t="s">
        <v>14</v>
      </c>
    </row>
    <row r="291" spans="1:8">
      <c r="A291" s="7" t="s">
        <v>298</v>
      </c>
      <c r="B291" s="9">
        <v>45805</v>
      </c>
      <c r="C291" s="9" t="b">
        <f t="shared" si="4"/>
        <v>0</v>
      </c>
      <c r="D291" s="7" t="s">
        <v>12</v>
      </c>
      <c r="E291" s="7" t="s">
        <v>19</v>
      </c>
      <c r="F291" s="7">
        <v>6</v>
      </c>
      <c r="G291" s="10">
        <v>7.41</v>
      </c>
      <c r="H291" s="7" t="s">
        <v>299</v>
      </c>
    </row>
    <row r="292" spans="1:8">
      <c r="A292" s="7" t="s">
        <v>300</v>
      </c>
      <c r="B292" s="9">
        <v>46232</v>
      </c>
      <c r="C292" s="9" t="b">
        <f t="shared" si="4"/>
        <v>0</v>
      </c>
      <c r="D292" s="7" t="s">
        <v>8</v>
      </c>
      <c r="E292" s="7" t="s">
        <v>9</v>
      </c>
      <c r="F292" s="7">
        <v>5</v>
      </c>
      <c r="G292" s="10">
        <v>13.24</v>
      </c>
      <c r="H292" s="7" t="s">
        <v>14</v>
      </c>
    </row>
    <row r="293" spans="1:8">
      <c r="A293" s="7" t="s">
        <v>301</v>
      </c>
      <c r="B293" s="9">
        <v>46205</v>
      </c>
      <c r="C293" s="9" t="b">
        <f t="shared" si="4"/>
        <v>0</v>
      </c>
      <c r="D293" s="7" t="s">
        <v>12</v>
      </c>
      <c r="E293" s="7" t="s">
        <v>9</v>
      </c>
      <c r="F293" s="7">
        <v>8</v>
      </c>
      <c r="G293" s="10">
        <v>-1</v>
      </c>
      <c r="H293" s="7" t="s">
        <v>16</v>
      </c>
    </row>
    <row r="294" spans="1:8">
      <c r="A294" s="7" t="s">
        <v>302</v>
      </c>
      <c r="B294" s="9">
        <v>46176</v>
      </c>
      <c r="C294" s="9" t="b">
        <f t="shared" si="4"/>
        <v>0</v>
      </c>
      <c r="D294" s="7" t="s">
        <v>12</v>
      </c>
      <c r="E294" s="7" t="s">
        <v>13</v>
      </c>
      <c r="F294" s="7">
        <v>2</v>
      </c>
      <c r="G294" s="10">
        <v>66.209999999999994</v>
      </c>
      <c r="H294" s="7" t="s">
        <v>33</v>
      </c>
    </row>
    <row r="295" spans="1:8">
      <c r="A295" s="7" t="s">
        <v>303</v>
      </c>
      <c r="B295" s="9">
        <v>46117</v>
      </c>
      <c r="C295" s="9" t="b">
        <f t="shared" si="4"/>
        <v>0</v>
      </c>
      <c r="D295" s="7" t="s">
        <v>8</v>
      </c>
      <c r="E295" s="7" t="s">
        <v>27</v>
      </c>
      <c r="F295" s="7">
        <v>3</v>
      </c>
      <c r="G295" s="10">
        <v>222.71</v>
      </c>
      <c r="H295" s="7" t="s">
        <v>10</v>
      </c>
    </row>
    <row r="296" spans="1:8">
      <c r="A296" s="7" t="s">
        <v>304</v>
      </c>
      <c r="B296" s="9"/>
      <c r="C296" s="9" t="b">
        <f t="shared" si="4"/>
        <v>0</v>
      </c>
      <c r="D296" s="7" t="s">
        <v>12</v>
      </c>
      <c r="E296" s="7" t="s">
        <v>27</v>
      </c>
      <c r="F296" s="7">
        <v>6</v>
      </c>
      <c r="G296" s="10">
        <v>263.68</v>
      </c>
      <c r="H296" s="7" t="s">
        <v>10</v>
      </c>
    </row>
    <row r="297" spans="1:8">
      <c r="A297" s="7" t="s">
        <v>62</v>
      </c>
      <c r="B297" s="9">
        <v>45699</v>
      </c>
      <c r="C297" s="9" t="b">
        <f t="shared" si="4"/>
        <v>0</v>
      </c>
      <c r="D297" s="7" t="s">
        <v>8</v>
      </c>
      <c r="E297" s="7" t="s">
        <v>9</v>
      </c>
      <c r="F297" s="7">
        <v>2</v>
      </c>
      <c r="G297" s="10">
        <v>11.46</v>
      </c>
      <c r="H297" s="7" t="s">
        <v>14</v>
      </c>
    </row>
    <row r="298" spans="1:8">
      <c r="A298" s="7" t="s">
        <v>305</v>
      </c>
      <c r="B298" s="9">
        <v>46059</v>
      </c>
      <c r="C298" s="9" t="b">
        <f t="shared" si="4"/>
        <v>0</v>
      </c>
      <c r="D298" s="7" t="s">
        <v>8</v>
      </c>
      <c r="E298" s="7" t="s">
        <v>13</v>
      </c>
      <c r="F298" s="7">
        <v>4</v>
      </c>
      <c r="G298" s="10">
        <v>43.1</v>
      </c>
      <c r="H298" s="7" t="s">
        <v>10</v>
      </c>
    </row>
    <row r="299" spans="1:8">
      <c r="A299" s="7" t="s">
        <v>306</v>
      </c>
      <c r="B299" s="9">
        <v>45726</v>
      </c>
      <c r="C299" s="9" t="b">
        <f t="shared" si="4"/>
        <v>0</v>
      </c>
      <c r="D299" s="7" t="s">
        <v>12</v>
      </c>
      <c r="E299" s="7" t="s">
        <v>9</v>
      </c>
      <c r="F299" s="7">
        <v>1</v>
      </c>
      <c r="G299" s="10">
        <v>14.85</v>
      </c>
      <c r="H299" s="7"/>
    </row>
    <row r="300" spans="1:8">
      <c r="A300" s="7" t="s">
        <v>307</v>
      </c>
      <c r="B300" s="9">
        <v>45907</v>
      </c>
      <c r="C300" s="9" t="b">
        <f t="shared" si="4"/>
        <v>0</v>
      </c>
      <c r="D300" s="7" t="s">
        <v>8</v>
      </c>
      <c r="E300" s="7" t="s">
        <v>9</v>
      </c>
      <c r="F300" s="7">
        <v>6</v>
      </c>
      <c r="G300" s="10">
        <v>13.93</v>
      </c>
      <c r="H300" s="7" t="s">
        <v>23</v>
      </c>
    </row>
    <row r="301" spans="1:8">
      <c r="A301" s="7"/>
      <c r="B301" s="9">
        <v>45903</v>
      </c>
      <c r="C301" s="9" t="b">
        <f t="shared" si="4"/>
        <v>0</v>
      </c>
      <c r="D301" s="7" t="s">
        <v>12</v>
      </c>
      <c r="E301" s="7" t="s">
        <v>19</v>
      </c>
      <c r="F301" s="7">
        <v>8</v>
      </c>
      <c r="G301" s="10">
        <v>5.62</v>
      </c>
      <c r="H301" s="7" t="s">
        <v>14</v>
      </c>
    </row>
  </sheetData>
  <conditionalFormatting sqref="A1:A1048576">
    <cfRule type="duplicateValues" dxfId="12" priority="1"/>
  </conditionalFormatting>
  <conditionalFormatting sqref="D6">
    <cfRule type="expression" dxfId="11" priority="2">
      <formula>OR(LEFT(D2,1)=" ", RIGHT(D2,1)=" ")</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833A6-C6ED-4C28-A68B-0CFE548B5F38}">
  <dimension ref="A1:W43"/>
  <sheetViews>
    <sheetView topLeftCell="A16" zoomScale="80" zoomScaleNormal="80" workbookViewId="0">
      <selection activeCell="L6" sqref="L6"/>
    </sheetView>
  </sheetViews>
  <sheetFormatPr defaultRowHeight="18.5"/>
  <cols>
    <col min="1" max="4" width="8.7265625" style="20"/>
    <col min="5" max="5" width="8.7265625" style="20" customWidth="1"/>
    <col min="6" max="9" width="8.7265625" style="20"/>
    <col min="10" max="10" width="10.1796875" style="20" bestFit="1" customWidth="1"/>
    <col min="11" max="15" width="8.7265625" style="20"/>
    <col min="16" max="16" width="37.1796875" style="20" customWidth="1"/>
    <col min="17" max="16384" width="8.7265625" style="20"/>
  </cols>
  <sheetData>
    <row r="1" spans="1:20">
      <c r="A1" s="38" t="s">
        <v>356</v>
      </c>
      <c r="B1" s="38"/>
      <c r="C1" s="38"/>
      <c r="D1" s="38"/>
      <c r="E1" s="38"/>
      <c r="F1" s="38"/>
      <c r="G1" s="38"/>
      <c r="H1" s="38"/>
      <c r="I1" s="38"/>
    </row>
    <row r="2" spans="1:20" ht="15.5" customHeight="1">
      <c r="A2" s="38"/>
      <c r="B2" s="38"/>
      <c r="C2" s="38"/>
      <c r="D2" s="38"/>
      <c r="E2" s="38"/>
      <c r="F2" s="38"/>
      <c r="G2" s="38"/>
      <c r="H2" s="38"/>
      <c r="I2" s="38"/>
      <c r="P2" s="21" t="s">
        <v>355</v>
      </c>
      <c r="Q2" s="21"/>
      <c r="R2" s="21"/>
      <c r="S2" s="21"/>
      <c r="T2" s="21"/>
    </row>
    <row r="3" spans="1:20">
      <c r="A3" s="38"/>
      <c r="B3" s="38"/>
      <c r="C3" s="38"/>
      <c r="D3" s="38"/>
      <c r="E3" s="38"/>
      <c r="F3" s="38"/>
      <c r="G3" s="38"/>
      <c r="H3" s="38"/>
      <c r="I3" s="38"/>
    </row>
    <row r="4" spans="1:20">
      <c r="A4" s="38"/>
      <c r="B4" s="38"/>
      <c r="C4" s="38"/>
      <c r="D4" s="38"/>
      <c r="E4" s="38"/>
      <c r="F4" s="38"/>
      <c r="G4" s="38"/>
      <c r="H4" s="38"/>
      <c r="I4" s="38"/>
    </row>
    <row r="6" spans="1:20">
      <c r="A6" s="39" t="s">
        <v>357</v>
      </c>
      <c r="B6" s="39"/>
      <c r="C6" s="39"/>
      <c r="D6" s="39"/>
      <c r="E6" s="39"/>
      <c r="F6" s="39"/>
      <c r="G6" s="39"/>
      <c r="H6" s="39"/>
      <c r="I6" s="39"/>
    </row>
    <row r="7" spans="1:20">
      <c r="A7" s="39"/>
      <c r="B7" s="39"/>
      <c r="C7" s="39"/>
      <c r="D7" s="39"/>
      <c r="E7" s="39"/>
      <c r="F7" s="39"/>
      <c r="G7" s="39"/>
      <c r="H7" s="39"/>
      <c r="I7" s="39"/>
    </row>
    <row r="9" spans="1:20" ht="14.5" customHeight="1">
      <c r="A9" s="40" t="s">
        <v>358</v>
      </c>
      <c r="B9" s="40"/>
      <c r="C9" s="40"/>
      <c r="D9" s="40"/>
      <c r="E9" s="40"/>
      <c r="F9" s="40"/>
      <c r="G9" s="40"/>
      <c r="H9" s="40"/>
      <c r="I9" s="40"/>
    </row>
    <row r="10" spans="1:20" ht="14.5" customHeight="1">
      <c r="A10" s="40"/>
      <c r="B10" s="40"/>
      <c r="C10" s="40"/>
      <c r="D10" s="40"/>
      <c r="E10" s="40"/>
      <c r="F10" s="40"/>
      <c r="G10" s="40"/>
      <c r="H10" s="40"/>
      <c r="I10" s="40"/>
    </row>
    <row r="11" spans="1:20">
      <c r="A11" s="40"/>
      <c r="B11" s="40"/>
      <c r="C11" s="40"/>
      <c r="D11" s="40"/>
      <c r="E11" s="40"/>
      <c r="F11" s="40"/>
      <c r="G11" s="40"/>
      <c r="H11" s="40"/>
      <c r="I11" s="40"/>
    </row>
    <row r="14" spans="1:20" ht="14.5" customHeight="1">
      <c r="A14" s="36">
        <v>1</v>
      </c>
      <c r="B14" s="37" t="s">
        <v>359</v>
      </c>
      <c r="C14" s="37"/>
      <c r="D14" s="37"/>
      <c r="E14" s="37"/>
      <c r="F14" s="37"/>
      <c r="G14" s="37"/>
      <c r="H14" s="37"/>
      <c r="I14" s="37"/>
    </row>
    <row r="15" spans="1:20">
      <c r="A15" s="36"/>
      <c r="B15" s="37"/>
      <c r="C15" s="37"/>
      <c r="D15" s="37"/>
      <c r="E15" s="37"/>
      <c r="F15" s="37"/>
      <c r="G15" s="37"/>
      <c r="H15" s="37"/>
      <c r="I15" s="37"/>
    </row>
    <row r="16" spans="1:20">
      <c r="A16" s="36"/>
      <c r="B16" s="37"/>
      <c r="C16" s="37"/>
      <c r="D16" s="37"/>
      <c r="E16" s="37"/>
      <c r="F16" s="37"/>
      <c r="G16" s="37"/>
      <c r="H16" s="37"/>
      <c r="I16" s="37"/>
    </row>
    <row r="17" spans="1:9">
      <c r="A17" s="36">
        <v>2</v>
      </c>
      <c r="B17" s="41" t="s">
        <v>361</v>
      </c>
      <c r="C17" s="41"/>
      <c r="D17" s="41"/>
      <c r="E17" s="41"/>
      <c r="F17" s="41"/>
      <c r="G17" s="41"/>
      <c r="H17" s="41"/>
      <c r="I17" s="41"/>
    </row>
    <row r="18" spans="1:9">
      <c r="A18" s="36"/>
      <c r="B18" s="41"/>
      <c r="C18" s="41"/>
      <c r="D18" s="41"/>
      <c r="E18" s="41"/>
      <c r="F18" s="41"/>
      <c r="G18" s="41"/>
      <c r="H18" s="41"/>
      <c r="I18" s="41"/>
    </row>
    <row r="19" spans="1:9">
      <c r="A19" s="36">
        <v>3</v>
      </c>
      <c r="B19" s="35" t="s">
        <v>362</v>
      </c>
      <c r="C19" s="35"/>
      <c r="D19" s="35"/>
      <c r="E19" s="35"/>
      <c r="F19" s="35"/>
      <c r="G19" s="35"/>
      <c r="H19" s="35"/>
      <c r="I19" s="35"/>
    </row>
    <row r="20" spans="1:9">
      <c r="A20" s="36"/>
      <c r="B20" s="35"/>
      <c r="C20" s="35"/>
      <c r="D20" s="35"/>
      <c r="E20" s="35"/>
      <c r="F20" s="35"/>
      <c r="G20" s="35"/>
      <c r="H20" s="35"/>
      <c r="I20" s="35"/>
    </row>
    <row r="21" spans="1:9">
      <c r="A21" s="36">
        <v>4</v>
      </c>
      <c r="B21" s="35" t="s">
        <v>363</v>
      </c>
      <c r="C21" s="35"/>
      <c r="D21" s="35"/>
      <c r="E21" s="35"/>
      <c r="F21" s="35"/>
      <c r="G21" s="35"/>
      <c r="H21" s="35"/>
      <c r="I21" s="35"/>
    </row>
    <row r="22" spans="1:9">
      <c r="A22" s="36"/>
      <c r="B22" s="35"/>
      <c r="C22" s="35"/>
      <c r="D22" s="35"/>
      <c r="E22" s="35"/>
      <c r="F22" s="35"/>
      <c r="G22" s="35"/>
      <c r="H22" s="35"/>
      <c r="I22" s="35"/>
    </row>
    <row r="23" spans="1:9">
      <c r="A23" s="36">
        <v>5</v>
      </c>
      <c r="B23" s="35" t="s">
        <v>364</v>
      </c>
      <c r="C23" s="35"/>
      <c r="D23" s="35"/>
      <c r="E23" s="35"/>
      <c r="F23" s="35"/>
      <c r="G23" s="35"/>
      <c r="H23" s="35"/>
      <c r="I23" s="35"/>
    </row>
    <row r="24" spans="1:9">
      <c r="A24" s="36"/>
      <c r="B24" s="35"/>
      <c r="C24" s="35"/>
      <c r="D24" s="35"/>
      <c r="E24" s="35"/>
      <c r="F24" s="35"/>
      <c r="G24" s="35"/>
      <c r="H24" s="35"/>
      <c r="I24" s="35"/>
    </row>
    <row r="25" spans="1:9">
      <c r="A25" s="36">
        <v>6</v>
      </c>
      <c r="B25" s="35" t="s">
        <v>365</v>
      </c>
      <c r="C25" s="42"/>
      <c r="D25" s="42"/>
      <c r="E25" s="42"/>
      <c r="F25" s="42"/>
      <c r="G25" s="42"/>
      <c r="H25" s="42"/>
      <c r="I25" s="42"/>
    </row>
    <row r="26" spans="1:9">
      <c r="A26" s="36"/>
      <c r="B26" s="42"/>
      <c r="C26" s="42"/>
      <c r="D26" s="42"/>
      <c r="E26" s="42"/>
      <c r="F26" s="42"/>
      <c r="G26" s="42"/>
      <c r="H26" s="42"/>
      <c r="I26" s="42"/>
    </row>
    <row r="27" spans="1:9">
      <c r="A27" s="36">
        <v>7</v>
      </c>
      <c r="B27" s="35" t="s">
        <v>366</v>
      </c>
      <c r="C27" s="35"/>
      <c r="D27" s="35"/>
      <c r="E27" s="35"/>
      <c r="F27" s="35"/>
      <c r="G27" s="35"/>
      <c r="H27" s="35"/>
      <c r="I27" s="35"/>
    </row>
    <row r="28" spans="1:9">
      <c r="A28" s="36"/>
      <c r="B28" s="35"/>
      <c r="C28" s="35"/>
      <c r="D28" s="35"/>
      <c r="E28" s="35"/>
      <c r="F28" s="35"/>
      <c r="G28" s="35"/>
      <c r="H28" s="35"/>
      <c r="I28" s="35"/>
    </row>
    <row r="29" spans="1:9">
      <c r="A29" s="36">
        <v>8</v>
      </c>
      <c r="B29" s="35" t="s">
        <v>368</v>
      </c>
      <c r="C29" s="42"/>
      <c r="D29" s="42"/>
      <c r="E29" s="42"/>
      <c r="F29" s="42"/>
      <c r="G29" s="42"/>
      <c r="H29" s="42"/>
      <c r="I29" s="42"/>
    </row>
    <row r="30" spans="1:9">
      <c r="A30" s="36"/>
      <c r="B30" s="42"/>
      <c r="C30" s="42"/>
      <c r="D30" s="42"/>
      <c r="E30" s="42"/>
      <c r="F30" s="42"/>
      <c r="G30" s="42"/>
      <c r="H30" s="42"/>
      <c r="I30" s="42"/>
    </row>
    <row r="31" spans="1:9">
      <c r="A31" s="36">
        <v>9</v>
      </c>
      <c r="B31" s="35" t="s">
        <v>367</v>
      </c>
      <c r="C31" s="35"/>
      <c r="D31" s="35"/>
      <c r="E31" s="35"/>
      <c r="F31" s="35"/>
      <c r="G31" s="35"/>
      <c r="H31" s="35"/>
      <c r="I31" s="35"/>
    </row>
    <row r="32" spans="1:9">
      <c r="A32" s="36"/>
      <c r="B32" s="35"/>
      <c r="C32" s="35"/>
      <c r="D32" s="35"/>
      <c r="E32" s="35"/>
      <c r="F32" s="35"/>
      <c r="G32" s="35"/>
      <c r="H32" s="35"/>
      <c r="I32" s="35"/>
    </row>
    <row r="33" spans="1:23">
      <c r="A33" s="36">
        <v>10</v>
      </c>
      <c r="B33" s="35" t="s">
        <v>384</v>
      </c>
      <c r="C33" s="35"/>
      <c r="D33" s="35"/>
      <c r="E33" s="35"/>
      <c r="F33" s="35"/>
      <c r="G33" s="35"/>
      <c r="H33" s="35"/>
      <c r="I33" s="35"/>
    </row>
    <row r="34" spans="1:23">
      <c r="A34" s="36"/>
      <c r="B34" s="35"/>
      <c r="C34" s="35"/>
      <c r="D34" s="35"/>
      <c r="E34" s="35"/>
      <c r="F34" s="35"/>
      <c r="G34" s="35"/>
      <c r="H34" s="35"/>
      <c r="I34" s="35"/>
    </row>
    <row r="35" spans="1:23">
      <c r="A35" s="36">
        <v>11</v>
      </c>
      <c r="B35" s="35" t="s">
        <v>382</v>
      </c>
      <c r="C35" s="42"/>
      <c r="D35" s="42"/>
      <c r="E35" s="42"/>
      <c r="F35" s="42"/>
      <c r="G35" s="42"/>
      <c r="H35" s="42"/>
      <c r="I35" s="42"/>
    </row>
    <row r="36" spans="1:23">
      <c r="A36" s="36"/>
      <c r="B36" s="42"/>
      <c r="C36" s="42"/>
      <c r="D36" s="42"/>
      <c r="E36" s="42"/>
      <c r="F36" s="42"/>
      <c r="G36" s="42"/>
      <c r="H36" s="42"/>
      <c r="I36" s="42"/>
    </row>
    <row r="37" spans="1:23">
      <c r="A37" s="36">
        <v>12</v>
      </c>
      <c r="B37" s="35" t="s">
        <v>388</v>
      </c>
      <c r="C37" s="35"/>
      <c r="D37" s="35"/>
      <c r="E37" s="35"/>
      <c r="F37" s="35"/>
      <c r="G37" s="35"/>
      <c r="H37" s="35"/>
      <c r="I37" s="35"/>
    </row>
    <row r="38" spans="1:23">
      <c r="A38" s="36"/>
      <c r="B38" s="35"/>
      <c r="C38" s="35"/>
      <c r="D38" s="35"/>
      <c r="E38" s="35"/>
      <c r="F38" s="35"/>
      <c r="G38" s="35"/>
      <c r="H38" s="35"/>
      <c r="I38" s="35"/>
      <c r="P38" s="7" t="s">
        <v>222</v>
      </c>
      <c r="Q38" s="9">
        <v>45947</v>
      </c>
      <c r="R38" s="9" t="b">
        <f t="shared" ref="R38" si="0">OR(LEFT(W38,1)=" ", RIGHT(W38,1)=" ")</f>
        <v>0</v>
      </c>
      <c r="S38" s="7" t="s">
        <v>8</v>
      </c>
      <c r="T38" s="7" t="s">
        <v>9</v>
      </c>
      <c r="U38" s="7"/>
      <c r="V38" s="10">
        <v>14.47</v>
      </c>
      <c r="W38" s="7" t="s">
        <v>33</v>
      </c>
    </row>
    <row r="39" spans="1:23">
      <c r="B39" s="30"/>
      <c r="C39" s="30"/>
      <c r="D39" s="30"/>
      <c r="E39" s="30"/>
      <c r="F39" s="30"/>
      <c r="G39" s="30"/>
      <c r="H39" s="30"/>
      <c r="I39" s="30"/>
    </row>
    <row r="40" spans="1:23">
      <c r="B40" s="30"/>
      <c r="C40" s="30"/>
      <c r="D40" s="30"/>
      <c r="E40" s="30"/>
      <c r="F40" s="30"/>
      <c r="G40" s="30"/>
      <c r="H40" s="30"/>
      <c r="I40" s="30"/>
    </row>
    <row r="43" spans="1:23">
      <c r="P43" t="s">
        <v>369</v>
      </c>
    </row>
  </sheetData>
  <mergeCells count="27">
    <mergeCell ref="B35:I36"/>
    <mergeCell ref="B33:I34"/>
    <mergeCell ref="A33:A34"/>
    <mergeCell ref="A35:A36"/>
    <mergeCell ref="B25:I26"/>
    <mergeCell ref="B27:I28"/>
    <mergeCell ref="A27:A28"/>
    <mergeCell ref="B31:I32"/>
    <mergeCell ref="B29:I30"/>
    <mergeCell ref="A29:A30"/>
    <mergeCell ref="A31:A32"/>
    <mergeCell ref="B37:I38"/>
    <mergeCell ref="A37:A38"/>
    <mergeCell ref="B14:I16"/>
    <mergeCell ref="A14:A16"/>
    <mergeCell ref="A1:I4"/>
    <mergeCell ref="A6:I7"/>
    <mergeCell ref="A9:I11"/>
    <mergeCell ref="B17:I18"/>
    <mergeCell ref="A17:A18"/>
    <mergeCell ref="A19:A20"/>
    <mergeCell ref="B19:I20"/>
    <mergeCell ref="A21:A22"/>
    <mergeCell ref="B21:I22"/>
    <mergeCell ref="A23:A24"/>
    <mergeCell ref="B23:I24"/>
    <mergeCell ref="A25:A26"/>
  </mergeCells>
  <conditionalFormatting sqref="P38">
    <cfRule type="duplicateValues" dxfId="10"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73DC-2876-4DA8-AED1-A01C43C70723}">
  <dimension ref="A1:P89"/>
  <sheetViews>
    <sheetView tabSelected="1" topLeftCell="E1" zoomScale="80" zoomScaleNormal="80" workbookViewId="0">
      <selection activeCell="J1" sqref="J1:J1048576"/>
    </sheetView>
  </sheetViews>
  <sheetFormatPr defaultRowHeight="18.5"/>
  <cols>
    <col min="1" max="1" width="15" style="20" bestFit="1" customWidth="1"/>
    <col min="2" max="2" width="17.08984375" style="20" bestFit="1" customWidth="1"/>
    <col min="3" max="3" width="17.08984375" style="20" customWidth="1"/>
    <col min="4" max="4" width="41.90625" style="20" bestFit="1" customWidth="1"/>
    <col min="5" max="5" width="8.7265625" style="20"/>
    <col min="6" max="6" width="15" style="20" bestFit="1" customWidth="1"/>
    <col min="7" max="7" width="15.7265625" style="20" bestFit="1" customWidth="1"/>
    <col min="8" max="8" width="12.36328125" style="20" bestFit="1" customWidth="1"/>
    <col min="9" max="9" width="50.90625" style="20" bestFit="1" customWidth="1"/>
    <col min="10" max="16384" width="8.7265625" style="20"/>
  </cols>
  <sheetData>
    <row r="1" spans="1:9" ht="18.5" customHeight="1">
      <c r="A1" s="35" t="s">
        <v>371</v>
      </c>
      <c r="B1" s="35"/>
      <c r="C1" s="35"/>
      <c r="D1" s="22"/>
      <c r="F1" s="35" t="s">
        <v>372</v>
      </c>
      <c r="G1" s="35"/>
      <c r="H1" s="35"/>
    </row>
    <row r="2" spans="1:9" ht="18.5" customHeight="1">
      <c r="A2" s="35"/>
      <c r="B2" s="35"/>
      <c r="C2" s="35"/>
      <c r="D2" s="22"/>
      <c r="F2" s="35"/>
      <c r="G2" s="35"/>
      <c r="H2" s="35"/>
    </row>
    <row r="3" spans="1:9">
      <c r="A3" s="24" t="s">
        <v>3</v>
      </c>
      <c r="B3" s="24" t="s">
        <v>0</v>
      </c>
      <c r="C3" s="24" t="s">
        <v>1</v>
      </c>
      <c r="D3" s="24" t="s">
        <v>378</v>
      </c>
      <c r="F3" s="24" t="s">
        <v>5</v>
      </c>
      <c r="G3" s="24" t="s">
        <v>0</v>
      </c>
      <c r="H3" s="24" t="s">
        <v>6</v>
      </c>
      <c r="I3" s="24" t="s">
        <v>378</v>
      </c>
    </row>
    <row r="4" spans="1:9" ht="24">
      <c r="A4" s="25" t="s">
        <v>13</v>
      </c>
      <c r="B4" s="25"/>
      <c r="C4" s="26">
        <v>45792</v>
      </c>
      <c r="D4" s="28" t="s">
        <v>361</v>
      </c>
      <c r="F4" s="27">
        <v>19.5</v>
      </c>
      <c r="G4" s="25" t="s">
        <v>7</v>
      </c>
      <c r="H4" s="25" t="s">
        <v>10</v>
      </c>
      <c r="I4" s="28" t="s">
        <v>379</v>
      </c>
    </row>
    <row r="5" spans="1:9">
      <c r="A5" s="25" t="s">
        <v>19</v>
      </c>
      <c r="B5" s="25"/>
      <c r="C5" s="26">
        <v>45731</v>
      </c>
      <c r="D5" s="26"/>
      <c r="F5" s="27">
        <v>11.46</v>
      </c>
      <c r="G5" s="25" t="s">
        <v>62</v>
      </c>
      <c r="H5" s="25" t="s">
        <v>14</v>
      </c>
    </row>
    <row r="6" spans="1:9">
      <c r="A6" s="25" t="s">
        <v>27</v>
      </c>
      <c r="B6" s="25"/>
      <c r="C6" s="26">
        <v>46091</v>
      </c>
      <c r="D6" s="26"/>
      <c r="F6" s="27">
        <v>95.46</v>
      </c>
      <c r="G6" s="25" t="s">
        <v>110</v>
      </c>
      <c r="H6" s="25" t="s">
        <v>10</v>
      </c>
    </row>
    <row r="7" spans="1:9" hidden="1">
      <c r="A7" s="25" t="s">
        <v>27</v>
      </c>
      <c r="B7" s="25"/>
      <c r="C7" s="26">
        <v>45690</v>
      </c>
      <c r="D7" s="26"/>
      <c r="F7" s="27">
        <v>25.06</v>
      </c>
      <c r="G7" s="25" t="s">
        <v>116</v>
      </c>
      <c r="H7" s="25" t="s">
        <v>51</v>
      </c>
    </row>
    <row r="8" spans="1:9" hidden="1">
      <c r="A8" s="25" t="s">
        <v>13</v>
      </c>
      <c r="B8" s="25"/>
      <c r="C8" s="26">
        <v>46188</v>
      </c>
      <c r="D8" s="26"/>
      <c r="F8" s="27">
        <v>95.46</v>
      </c>
      <c r="G8" s="25" t="s">
        <v>110</v>
      </c>
      <c r="H8" s="25" t="s">
        <v>10</v>
      </c>
    </row>
    <row r="9" spans="1:9" hidden="1">
      <c r="A9" s="25" t="s">
        <v>9</v>
      </c>
      <c r="B9" s="25"/>
      <c r="C9" s="26">
        <v>46088</v>
      </c>
      <c r="D9" s="26"/>
      <c r="F9" s="27">
        <v>73.55</v>
      </c>
      <c r="G9" s="25" t="s">
        <v>168</v>
      </c>
      <c r="H9" s="25" t="s">
        <v>51</v>
      </c>
    </row>
    <row r="10" spans="1:9" hidden="1">
      <c r="A10" s="25" t="s">
        <v>38</v>
      </c>
      <c r="B10" s="25"/>
      <c r="C10" s="26">
        <v>45662</v>
      </c>
      <c r="D10" s="26"/>
      <c r="F10" s="27">
        <v>135.55000000000001</v>
      </c>
      <c r="G10" s="25" t="s">
        <v>193</v>
      </c>
      <c r="H10" s="25" t="s">
        <v>16</v>
      </c>
    </row>
    <row r="11" spans="1:9" hidden="1">
      <c r="A11" s="25" t="s">
        <v>27</v>
      </c>
      <c r="B11" s="25"/>
      <c r="C11" s="26">
        <v>45829</v>
      </c>
      <c r="D11" s="26"/>
      <c r="F11" s="27">
        <v>46.32</v>
      </c>
      <c r="G11" s="25" t="s">
        <v>206</v>
      </c>
      <c r="H11" s="25" t="s">
        <v>51</v>
      </c>
    </row>
    <row r="12" spans="1:9" hidden="1">
      <c r="A12" s="25" t="s">
        <v>19</v>
      </c>
      <c r="B12" s="25"/>
      <c r="C12" s="26">
        <v>45847</v>
      </c>
      <c r="D12" s="26"/>
      <c r="F12" s="27">
        <v>135.55000000000001</v>
      </c>
      <c r="G12" s="25" t="s">
        <v>193</v>
      </c>
      <c r="H12" s="25" t="s">
        <v>16</v>
      </c>
    </row>
    <row r="13" spans="1:9" hidden="1">
      <c r="A13" s="25" t="s">
        <v>9</v>
      </c>
      <c r="B13" s="25"/>
      <c r="C13" s="26">
        <v>45795</v>
      </c>
      <c r="D13" s="26"/>
      <c r="F13" s="27">
        <v>73.55</v>
      </c>
      <c r="G13" s="25" t="s">
        <v>168</v>
      </c>
      <c r="H13" s="25" t="s">
        <v>51</v>
      </c>
    </row>
    <row r="14" spans="1:9" hidden="1">
      <c r="A14" s="25" t="s">
        <v>9</v>
      </c>
      <c r="B14" s="25"/>
      <c r="C14" s="26">
        <v>46082</v>
      </c>
      <c r="D14" s="26"/>
      <c r="F14" s="27">
        <v>19.5</v>
      </c>
      <c r="G14" s="25" t="s">
        <v>7</v>
      </c>
      <c r="H14" s="25" t="s">
        <v>10</v>
      </c>
    </row>
    <row r="15" spans="1:9" hidden="1">
      <c r="A15" s="25" t="s">
        <v>27</v>
      </c>
      <c r="B15" s="25"/>
      <c r="C15" s="26">
        <v>45997</v>
      </c>
      <c r="D15" s="26"/>
      <c r="F15" s="27">
        <v>14.47</v>
      </c>
      <c r="G15" s="25" t="s">
        <v>222</v>
      </c>
      <c r="H15" s="25" t="s">
        <v>33</v>
      </c>
    </row>
    <row r="16" spans="1:9">
      <c r="A16" s="25" t="s">
        <v>13</v>
      </c>
      <c r="B16" s="25"/>
      <c r="C16" s="26">
        <v>45806</v>
      </c>
      <c r="D16" s="26"/>
      <c r="F16" s="27">
        <v>14.47</v>
      </c>
      <c r="G16" s="25" t="s">
        <v>222</v>
      </c>
      <c r="H16" s="25" t="s">
        <v>33</v>
      </c>
    </row>
    <row r="17" spans="1:16">
      <c r="A17" s="25" t="s">
        <v>9</v>
      </c>
      <c r="B17" s="25"/>
      <c r="C17" s="26">
        <v>46045</v>
      </c>
      <c r="D17" s="26"/>
      <c r="F17" s="27">
        <v>46.32</v>
      </c>
      <c r="G17" s="25" t="s">
        <v>206</v>
      </c>
      <c r="H17" s="25" t="s">
        <v>51</v>
      </c>
    </row>
    <row r="18" spans="1:16">
      <c r="A18" s="25" t="s">
        <v>19</v>
      </c>
      <c r="B18" s="25"/>
      <c r="C18" s="26">
        <v>45903</v>
      </c>
      <c r="D18" s="26"/>
      <c r="F18" s="27">
        <v>25.06</v>
      </c>
      <c r="G18" s="25" t="s">
        <v>116</v>
      </c>
      <c r="H18" s="25" t="s">
        <v>51</v>
      </c>
    </row>
    <row r="19" spans="1:16">
      <c r="F19" s="27">
        <v>11.46</v>
      </c>
      <c r="G19" s="25" t="s">
        <v>62</v>
      </c>
      <c r="H19" s="25" t="s">
        <v>14</v>
      </c>
    </row>
    <row r="20" spans="1:16">
      <c r="F20" s="25"/>
      <c r="G20" s="25"/>
      <c r="H20" s="25"/>
    </row>
    <row r="21" spans="1:16" ht="14.5" customHeight="1">
      <c r="A21" s="35" t="s">
        <v>373</v>
      </c>
      <c r="B21" s="35"/>
      <c r="C21" s="35"/>
      <c r="D21" s="22"/>
      <c r="F21" s="35" t="s">
        <v>374</v>
      </c>
      <c r="G21" s="35"/>
      <c r="H21" s="35"/>
    </row>
    <row r="22" spans="1:16" ht="14.5" customHeight="1">
      <c r="A22" s="35"/>
      <c r="B22" s="35"/>
      <c r="C22" s="35"/>
      <c r="D22" s="22"/>
      <c r="F22" s="35"/>
      <c r="G22" s="35"/>
      <c r="H22" s="35"/>
    </row>
    <row r="23" spans="1:16">
      <c r="A23" s="24" t="s">
        <v>0</v>
      </c>
      <c r="B23" s="24" t="s">
        <v>1</v>
      </c>
      <c r="C23" s="24" t="s">
        <v>5</v>
      </c>
      <c r="D23" s="24" t="s">
        <v>378</v>
      </c>
      <c r="F23" s="24" t="s">
        <v>0</v>
      </c>
      <c r="G23" s="24" t="s">
        <v>2</v>
      </c>
      <c r="H23" s="24" t="s">
        <v>6</v>
      </c>
      <c r="I23" s="24" t="s">
        <v>378</v>
      </c>
    </row>
    <row r="24" spans="1:16" ht="24">
      <c r="A24" s="25" t="s">
        <v>48</v>
      </c>
      <c r="B24" s="26"/>
      <c r="C24" s="27">
        <v>235.34</v>
      </c>
      <c r="D24" s="28" t="s">
        <v>362</v>
      </c>
      <c r="F24" s="25" t="s">
        <v>18</v>
      </c>
      <c r="G24" s="25"/>
      <c r="H24" s="25" t="s">
        <v>16</v>
      </c>
      <c r="I24" s="28" t="s">
        <v>387</v>
      </c>
    </row>
    <row r="25" spans="1:16">
      <c r="A25" s="25" t="s">
        <v>53</v>
      </c>
      <c r="B25" s="26"/>
      <c r="C25" s="27">
        <v>141.30000000000001</v>
      </c>
      <c r="D25" s="27"/>
      <c r="F25" s="25" t="s">
        <v>83</v>
      </c>
      <c r="G25" s="25"/>
      <c r="H25" s="25" t="s">
        <v>16</v>
      </c>
      <c r="I25" s="43" t="s">
        <v>364</v>
      </c>
      <c r="J25" s="43"/>
      <c r="K25" s="43"/>
      <c r="L25" s="43"/>
      <c r="M25" s="43"/>
      <c r="N25" s="43"/>
      <c r="O25" s="43"/>
      <c r="P25" s="43"/>
    </row>
    <row r="26" spans="1:16">
      <c r="A26" s="25" t="s">
        <v>81</v>
      </c>
      <c r="B26" s="26"/>
      <c r="C26" s="27">
        <v>39.08</v>
      </c>
      <c r="D26" s="27"/>
      <c r="F26" s="25" t="s">
        <v>102</v>
      </c>
      <c r="G26" s="25"/>
      <c r="H26" s="25" t="s">
        <v>10</v>
      </c>
      <c r="I26" s="43"/>
      <c r="J26" s="43"/>
      <c r="K26" s="43"/>
      <c r="L26" s="43"/>
      <c r="M26" s="43"/>
      <c r="N26" s="43"/>
      <c r="O26" s="43"/>
      <c r="P26" s="43"/>
    </row>
    <row r="27" spans="1:16">
      <c r="A27" s="25" t="s">
        <v>90</v>
      </c>
      <c r="B27" s="26"/>
      <c r="C27" s="27">
        <v>47.56</v>
      </c>
      <c r="D27" s="27"/>
      <c r="F27" s="25" t="s">
        <v>122</v>
      </c>
      <c r="G27" s="25"/>
      <c r="H27" s="25" t="s">
        <v>10</v>
      </c>
    </row>
    <row r="28" spans="1:16" ht="19" hidden="1" customHeight="1">
      <c r="A28" s="25" t="s">
        <v>93</v>
      </c>
      <c r="B28" s="26"/>
      <c r="C28" s="27">
        <v>259.64999999999998</v>
      </c>
      <c r="D28" s="27"/>
      <c r="F28" s="25" t="s">
        <v>142</v>
      </c>
      <c r="G28" s="25"/>
      <c r="H28" s="25" t="s">
        <v>33</v>
      </c>
    </row>
    <row r="29" spans="1:16" hidden="1">
      <c r="A29" s="25" t="s">
        <v>119</v>
      </c>
      <c r="B29" s="26"/>
      <c r="C29" s="27">
        <v>61.48</v>
      </c>
      <c r="D29" s="27"/>
      <c r="F29" s="25" t="s">
        <v>145</v>
      </c>
      <c r="G29" s="25" t="s">
        <v>95</v>
      </c>
      <c r="H29" s="25" t="s">
        <v>16</v>
      </c>
    </row>
    <row r="30" spans="1:16" hidden="1">
      <c r="A30" s="25" t="s">
        <v>136</v>
      </c>
      <c r="B30" s="26"/>
      <c r="C30" s="27">
        <v>43.97</v>
      </c>
      <c r="D30" s="27"/>
      <c r="F30" s="25" t="s">
        <v>167</v>
      </c>
      <c r="G30" s="25"/>
      <c r="H30" s="25" t="s">
        <v>14</v>
      </c>
    </row>
    <row r="31" spans="1:16" hidden="1">
      <c r="A31" s="25" t="s">
        <v>145</v>
      </c>
      <c r="B31" s="26"/>
      <c r="C31" s="27">
        <v>335.42</v>
      </c>
      <c r="D31" s="27"/>
      <c r="F31" s="25" t="s">
        <v>195</v>
      </c>
      <c r="G31" s="25"/>
      <c r="H31" s="25" t="s">
        <v>16</v>
      </c>
    </row>
    <row r="32" spans="1:16" hidden="1">
      <c r="A32" s="25" t="s">
        <v>163</v>
      </c>
      <c r="B32" s="26"/>
      <c r="C32" s="27">
        <v>7.21</v>
      </c>
      <c r="D32" s="27"/>
      <c r="F32" s="25" t="s">
        <v>196</v>
      </c>
      <c r="G32" s="25"/>
      <c r="H32" s="25" t="s">
        <v>10</v>
      </c>
    </row>
    <row r="33" spans="1:16" hidden="1">
      <c r="A33" s="25" t="s">
        <v>192</v>
      </c>
      <c r="B33" s="26"/>
      <c r="C33" s="27">
        <v>52.75</v>
      </c>
      <c r="D33" s="27"/>
      <c r="F33" s="25" t="s">
        <v>201</v>
      </c>
      <c r="G33" s="25"/>
      <c r="H33" s="25" t="s">
        <v>14</v>
      </c>
    </row>
    <row r="34" spans="1:16" hidden="1">
      <c r="A34" s="25" t="s">
        <v>210</v>
      </c>
      <c r="B34" s="26"/>
      <c r="C34" s="27">
        <v>253.2</v>
      </c>
      <c r="D34" s="27"/>
      <c r="F34" s="25" t="s">
        <v>222</v>
      </c>
      <c r="G34" s="25"/>
      <c r="H34" s="25" t="s">
        <v>33</v>
      </c>
    </row>
    <row r="35" spans="1:16" hidden="1">
      <c r="A35" s="25" t="s">
        <v>211</v>
      </c>
      <c r="B35" s="26"/>
      <c r="C35" s="27">
        <v>15.12</v>
      </c>
      <c r="D35" s="27"/>
      <c r="F35" s="25" t="s">
        <v>254</v>
      </c>
      <c r="G35" s="25"/>
      <c r="H35" s="25" t="s">
        <v>10</v>
      </c>
    </row>
    <row r="36" spans="1:16" hidden="1">
      <c r="A36" s="25" t="s">
        <v>217</v>
      </c>
      <c r="B36" s="26"/>
      <c r="C36" s="27">
        <v>29.41</v>
      </c>
      <c r="D36" s="27"/>
      <c r="F36" s="25" t="s">
        <v>259</v>
      </c>
      <c r="G36" s="25"/>
      <c r="H36" s="25" t="s">
        <v>14</v>
      </c>
    </row>
    <row r="37" spans="1:16" hidden="1">
      <c r="A37" s="25" t="s">
        <v>242</v>
      </c>
      <c r="B37" s="26"/>
      <c r="C37" s="27">
        <v>54.66</v>
      </c>
      <c r="D37" s="27"/>
      <c r="F37" s="25" t="s">
        <v>262</v>
      </c>
      <c r="G37" s="25"/>
      <c r="H37" s="25" t="s">
        <v>14</v>
      </c>
    </row>
    <row r="38" spans="1:16">
      <c r="A38" s="25" t="s">
        <v>304</v>
      </c>
      <c r="B38" s="26"/>
      <c r="C38" s="27">
        <v>263.68</v>
      </c>
      <c r="D38" s="27"/>
      <c r="F38" s="25" t="s">
        <v>268</v>
      </c>
      <c r="G38" s="25"/>
      <c r="H38" s="25" t="s">
        <v>269</v>
      </c>
    </row>
    <row r="39" spans="1:16">
      <c r="F39" s="25" t="s">
        <v>282</v>
      </c>
      <c r="G39" s="25"/>
      <c r="H39" s="25" t="s">
        <v>33</v>
      </c>
    </row>
    <row r="40" spans="1:16">
      <c r="F40" s="25" t="s">
        <v>286</v>
      </c>
      <c r="G40" s="25"/>
      <c r="H40" s="25" t="s">
        <v>14</v>
      </c>
    </row>
    <row r="41" spans="1:16">
      <c r="F41" s="25" t="s">
        <v>287</v>
      </c>
      <c r="G41" s="25"/>
      <c r="H41" s="25" t="s">
        <v>10</v>
      </c>
    </row>
    <row r="43" spans="1:16" ht="14.5" customHeight="1">
      <c r="A43" s="35" t="s">
        <v>370</v>
      </c>
      <c r="B43" s="35"/>
      <c r="C43" s="35"/>
      <c r="D43" s="22"/>
      <c r="F43" s="35" t="s">
        <v>375</v>
      </c>
      <c r="G43" s="35"/>
      <c r="H43" s="35"/>
    </row>
    <row r="44" spans="1:16" ht="14.5" customHeight="1">
      <c r="A44" s="35"/>
      <c r="B44" s="35"/>
      <c r="C44" s="35"/>
      <c r="D44" s="22"/>
      <c r="F44" s="35"/>
      <c r="G44" s="35"/>
      <c r="H44" s="35"/>
    </row>
    <row r="45" spans="1:16" ht="14.5" customHeight="1">
      <c r="A45" s="35"/>
      <c r="B45" s="35"/>
      <c r="C45" s="35"/>
      <c r="D45" s="22"/>
      <c r="F45" s="35"/>
      <c r="G45" s="35"/>
      <c r="H45" s="35"/>
    </row>
    <row r="46" spans="1:16">
      <c r="A46" s="24" t="s">
        <v>0</v>
      </c>
      <c r="B46" s="24" t="s">
        <v>3</v>
      </c>
      <c r="C46" s="24" t="s">
        <v>5</v>
      </c>
      <c r="D46" s="24" t="s">
        <v>378</v>
      </c>
      <c r="F46" s="24" t="s">
        <v>0</v>
      </c>
      <c r="G46" s="24" t="s">
        <v>4</v>
      </c>
      <c r="H46" s="24" t="s">
        <v>5</v>
      </c>
      <c r="I46" s="24" t="s">
        <v>378</v>
      </c>
    </row>
    <row r="47" spans="1:16" ht="24">
      <c r="A47" s="25" t="s">
        <v>54</v>
      </c>
      <c r="B47" s="25"/>
      <c r="C47" s="27">
        <v>27.15</v>
      </c>
      <c r="D47" s="28" t="s">
        <v>365</v>
      </c>
      <c r="F47" s="25" t="s">
        <v>21</v>
      </c>
      <c r="G47" s="25" t="s">
        <v>22</v>
      </c>
      <c r="H47" s="27">
        <v>5.18</v>
      </c>
      <c r="I47" s="34" t="s">
        <v>368</v>
      </c>
      <c r="J47" s="33"/>
      <c r="K47" s="33"/>
      <c r="L47" s="33"/>
      <c r="M47" s="33"/>
      <c r="N47" s="33"/>
      <c r="O47" s="33"/>
      <c r="P47" s="33"/>
    </row>
    <row r="48" spans="1:16" ht="24">
      <c r="A48" s="25" t="s">
        <v>57</v>
      </c>
      <c r="B48" s="25"/>
      <c r="C48" s="27">
        <v>21.57</v>
      </c>
      <c r="D48" s="32" t="s">
        <v>366</v>
      </c>
      <c r="F48" s="25" t="s">
        <v>25</v>
      </c>
      <c r="G48" s="25"/>
      <c r="H48" s="27">
        <v>6.03</v>
      </c>
      <c r="I48" s="34" t="s">
        <v>367</v>
      </c>
      <c r="J48" s="33"/>
      <c r="K48" s="33"/>
      <c r="L48" s="33"/>
      <c r="M48" s="33"/>
      <c r="N48" s="33"/>
      <c r="O48" s="33"/>
      <c r="P48" s="33"/>
    </row>
    <row r="49" spans="1:16" ht="14.5" customHeight="1">
      <c r="A49" s="25" t="s">
        <v>84</v>
      </c>
      <c r="B49" s="25"/>
      <c r="C49" s="27">
        <v>16.579999999999998</v>
      </c>
      <c r="D49" s="27"/>
      <c r="F49" s="25" t="s">
        <v>28</v>
      </c>
      <c r="G49" s="25"/>
      <c r="H49" s="27">
        <v>182.27</v>
      </c>
      <c r="I49" s="33"/>
      <c r="J49" s="33"/>
      <c r="K49" s="33"/>
      <c r="L49" s="33"/>
      <c r="M49" s="33"/>
      <c r="N49" s="33"/>
      <c r="O49" s="33"/>
      <c r="P49" s="33"/>
    </row>
    <row r="50" spans="1:16">
      <c r="A50" s="25" t="s">
        <v>99</v>
      </c>
      <c r="B50" s="25"/>
      <c r="C50" s="27">
        <v>10.79</v>
      </c>
      <c r="D50" s="27"/>
      <c r="F50" s="25" t="s">
        <v>49</v>
      </c>
      <c r="G50" s="25"/>
      <c r="H50" s="27">
        <v>49.58</v>
      </c>
    </row>
    <row r="51" spans="1:16" hidden="1">
      <c r="A51" s="25" t="s">
        <v>101</v>
      </c>
      <c r="B51" s="25"/>
      <c r="C51" s="27">
        <v>60.52</v>
      </c>
      <c r="D51" s="27"/>
      <c r="F51" s="25" t="s">
        <v>77</v>
      </c>
      <c r="G51" s="25"/>
      <c r="H51" s="27">
        <v>23.87</v>
      </c>
    </row>
    <row r="52" spans="1:16" hidden="1">
      <c r="A52" s="25" t="s">
        <v>112</v>
      </c>
      <c r="B52" s="25"/>
      <c r="C52" s="27">
        <v>19.32</v>
      </c>
      <c r="D52" s="27"/>
      <c r="F52" s="25" t="s">
        <v>87</v>
      </c>
      <c r="G52" s="25"/>
      <c r="H52" s="27">
        <v>144.02000000000001</v>
      </c>
    </row>
    <row r="53" spans="1:16" hidden="1">
      <c r="A53" s="25" t="s">
        <v>113</v>
      </c>
      <c r="B53" s="25"/>
      <c r="C53" s="27">
        <v>138.38999999999999</v>
      </c>
      <c r="D53" s="27"/>
      <c r="F53" s="25" t="s">
        <v>120</v>
      </c>
      <c r="G53" s="25" t="s">
        <v>22</v>
      </c>
      <c r="H53" s="27">
        <v>50.49</v>
      </c>
    </row>
    <row r="54" spans="1:16" hidden="1">
      <c r="A54" s="25" t="s">
        <v>120</v>
      </c>
      <c r="B54" s="25"/>
      <c r="C54" s="27">
        <v>50.49</v>
      </c>
      <c r="D54" s="27"/>
      <c r="F54" s="25" t="s">
        <v>124</v>
      </c>
      <c r="G54" s="25" t="s">
        <v>22</v>
      </c>
      <c r="H54" s="27">
        <v>182</v>
      </c>
    </row>
    <row r="55" spans="1:16" hidden="1">
      <c r="A55" s="25" t="s">
        <v>144</v>
      </c>
      <c r="B55" s="25"/>
      <c r="C55" s="27">
        <v>71.22</v>
      </c>
      <c r="D55" s="27"/>
      <c r="F55" s="25" t="s">
        <v>132</v>
      </c>
      <c r="G55" s="25"/>
      <c r="H55" s="27">
        <v>113.25</v>
      </c>
    </row>
    <row r="56" spans="1:16" hidden="1">
      <c r="A56" s="25" t="s">
        <v>150</v>
      </c>
      <c r="B56" s="25"/>
      <c r="C56" s="27">
        <v>64.44</v>
      </c>
      <c r="D56" s="27"/>
      <c r="F56" s="25" t="s">
        <v>158</v>
      </c>
      <c r="G56" s="25"/>
      <c r="H56" s="27">
        <v>41.97</v>
      </c>
    </row>
    <row r="57" spans="1:16" hidden="1">
      <c r="A57" s="25" t="s">
        <v>169</v>
      </c>
      <c r="B57" s="25"/>
      <c r="C57" s="27">
        <v>90.6</v>
      </c>
      <c r="D57" s="27"/>
      <c r="F57" s="25" t="s">
        <v>175</v>
      </c>
      <c r="G57" s="25"/>
      <c r="H57" s="27">
        <v>15.51</v>
      </c>
    </row>
    <row r="58" spans="1:16">
      <c r="A58" s="25" t="s">
        <v>207</v>
      </c>
      <c r="B58" s="25" t="s">
        <v>336</v>
      </c>
      <c r="C58" s="27">
        <v>16.54</v>
      </c>
      <c r="D58" s="27"/>
      <c r="F58" s="25" t="s">
        <v>179</v>
      </c>
      <c r="G58" s="25"/>
      <c r="H58" s="27">
        <v>16.510000000000002</v>
      </c>
    </row>
    <row r="59" spans="1:16" hidden="1">
      <c r="A59" s="25" t="s">
        <v>213</v>
      </c>
      <c r="B59" s="25"/>
      <c r="C59" s="27">
        <v>22.32</v>
      </c>
      <c r="D59" s="27"/>
      <c r="F59" s="25" t="s">
        <v>232</v>
      </c>
      <c r="G59" s="25"/>
      <c r="H59" s="27">
        <v>238.71</v>
      </c>
    </row>
    <row r="60" spans="1:16" hidden="1">
      <c r="A60" s="25" t="s">
        <v>225</v>
      </c>
      <c r="B60" s="25"/>
      <c r="C60" s="27" t="s">
        <v>226</v>
      </c>
      <c r="D60" s="27"/>
      <c r="F60" s="25" t="s">
        <v>233</v>
      </c>
      <c r="G60" s="25"/>
      <c r="H60" s="27">
        <v>225.04</v>
      </c>
    </row>
    <row r="61" spans="1:16">
      <c r="A61" s="25" t="s">
        <v>227</v>
      </c>
      <c r="B61" s="25"/>
      <c r="C61" s="27">
        <v>10.7</v>
      </c>
      <c r="D61" s="27"/>
      <c r="F61" s="25" t="s">
        <v>237</v>
      </c>
      <c r="G61" s="25"/>
      <c r="H61" s="27">
        <v>319.92</v>
      </c>
    </row>
    <row r="62" spans="1:16">
      <c r="A62" s="25" t="s">
        <v>238</v>
      </c>
      <c r="B62" s="25"/>
      <c r="C62" s="27">
        <v>269.2</v>
      </c>
      <c r="D62" s="27"/>
      <c r="F62" s="25" t="s">
        <v>222</v>
      </c>
      <c r="G62" s="25"/>
      <c r="H62" s="27">
        <v>14.47</v>
      </c>
    </row>
    <row r="63" spans="1:16">
      <c r="A63" s="25" t="s">
        <v>292</v>
      </c>
      <c r="B63" s="25"/>
      <c r="C63" s="27">
        <v>158.86000000000001</v>
      </c>
      <c r="D63" s="27"/>
      <c r="F63" s="25" t="s">
        <v>264</v>
      </c>
      <c r="G63" s="25"/>
      <c r="H63" s="27">
        <v>270.89</v>
      </c>
    </row>
    <row r="64" spans="1:16">
      <c r="F64" s="25" t="s">
        <v>280</v>
      </c>
      <c r="G64" s="25"/>
      <c r="H64" s="27">
        <v>45.3</v>
      </c>
    </row>
    <row r="65" spans="1:9">
      <c r="F65" s="25" t="s">
        <v>294</v>
      </c>
      <c r="G65" s="25"/>
      <c r="H65" s="27">
        <v>69.709999999999994</v>
      </c>
    </row>
    <row r="66" spans="1:9">
      <c r="F66" s="25"/>
      <c r="G66" s="25"/>
    </row>
    <row r="67" spans="1:9" ht="24" customHeight="1">
      <c r="A67" s="35" t="s">
        <v>376</v>
      </c>
      <c r="B67" s="35"/>
      <c r="C67" s="35"/>
      <c r="D67" s="22"/>
      <c r="F67" s="35" t="s">
        <v>377</v>
      </c>
      <c r="G67" s="35"/>
      <c r="H67" s="35"/>
    </row>
    <row r="68" spans="1:9" ht="24" customHeight="1">
      <c r="A68" s="35"/>
      <c r="B68" s="35"/>
      <c r="C68" s="35"/>
      <c r="D68" s="22"/>
      <c r="F68" s="35"/>
      <c r="G68" s="35"/>
      <c r="H68" s="35"/>
    </row>
    <row r="69" spans="1:9" ht="24" customHeight="1">
      <c r="A69" s="35"/>
      <c r="B69" s="35"/>
      <c r="C69" s="35"/>
      <c r="D69" s="22"/>
      <c r="F69" s="35"/>
      <c r="G69" s="35"/>
      <c r="H69" s="35"/>
    </row>
    <row r="70" spans="1:9">
      <c r="A70" s="24" t="s">
        <v>0</v>
      </c>
      <c r="B70" s="24" t="s">
        <v>5</v>
      </c>
      <c r="C70" s="24" t="s">
        <v>1</v>
      </c>
      <c r="D70" s="24" t="s">
        <v>378</v>
      </c>
      <c r="F70" s="24" t="s">
        <v>0</v>
      </c>
      <c r="G70" s="24" t="s">
        <v>6</v>
      </c>
      <c r="H70" s="24" t="s">
        <v>5</v>
      </c>
      <c r="I70" s="24" t="s">
        <v>378</v>
      </c>
    </row>
    <row r="71" spans="1:9" ht="24">
      <c r="A71" s="25" t="s">
        <v>43</v>
      </c>
      <c r="B71" s="27"/>
      <c r="C71" s="26">
        <v>45761</v>
      </c>
      <c r="D71" s="28" t="s">
        <v>382</v>
      </c>
      <c r="F71" s="25" t="s">
        <v>30</v>
      </c>
      <c r="G71" s="25"/>
      <c r="H71" s="27">
        <v>19.88</v>
      </c>
      <c r="I71" s="31" t="s">
        <v>385</v>
      </c>
    </row>
    <row r="72" spans="1:9" ht="24">
      <c r="A72" s="25" t="s">
        <v>45</v>
      </c>
      <c r="B72" s="27"/>
      <c r="C72" s="26">
        <v>46178</v>
      </c>
      <c r="D72" s="29" t="s">
        <v>380</v>
      </c>
      <c r="F72" s="25" t="s">
        <v>34</v>
      </c>
      <c r="G72" s="25"/>
      <c r="H72" s="27">
        <v>7.75</v>
      </c>
      <c r="I72" s="23" t="s">
        <v>386</v>
      </c>
    </row>
    <row r="73" spans="1:9" ht="24">
      <c r="A73" s="25" t="s">
        <v>52</v>
      </c>
      <c r="B73" s="27"/>
      <c r="C73" s="26">
        <v>45787</v>
      </c>
      <c r="D73" s="29" t="s">
        <v>381</v>
      </c>
      <c r="F73" s="25" t="s">
        <v>39</v>
      </c>
      <c r="G73" s="25"/>
      <c r="H73" s="27">
        <v>48.09</v>
      </c>
    </row>
    <row r="74" spans="1:9" ht="24">
      <c r="A74" s="25" t="s">
        <v>78</v>
      </c>
      <c r="B74" s="27"/>
      <c r="C74" s="26">
        <v>46050</v>
      </c>
      <c r="D74" s="29" t="s">
        <v>383</v>
      </c>
      <c r="F74" s="25" t="s">
        <v>56</v>
      </c>
      <c r="G74" s="25"/>
      <c r="H74" s="27">
        <v>12.26</v>
      </c>
    </row>
    <row r="75" spans="1:9">
      <c r="A75" s="25" t="s">
        <v>94</v>
      </c>
      <c r="B75" s="27" t="s">
        <v>95</v>
      </c>
      <c r="C75" s="26">
        <v>45761</v>
      </c>
      <c r="D75" s="26"/>
      <c r="F75" s="25" t="s">
        <v>78</v>
      </c>
      <c r="G75" s="25" t="s">
        <v>22</v>
      </c>
      <c r="H75" s="27"/>
    </row>
    <row r="76" spans="1:9">
      <c r="A76" s="25" t="s">
        <v>96</v>
      </c>
      <c r="B76" s="27"/>
      <c r="C76" s="26">
        <v>45683</v>
      </c>
      <c r="D76" s="26"/>
      <c r="F76" s="25" t="s">
        <v>128</v>
      </c>
      <c r="G76" s="25"/>
      <c r="H76" s="27">
        <v>126.55</v>
      </c>
    </row>
    <row r="77" spans="1:9">
      <c r="A77" s="25" t="s">
        <v>102</v>
      </c>
      <c r="B77" s="27"/>
      <c r="C77" s="26">
        <v>45815</v>
      </c>
      <c r="D77" s="26"/>
      <c r="F77" s="25" t="s">
        <v>140</v>
      </c>
      <c r="G77" s="25"/>
      <c r="H77" s="27">
        <v>272.25</v>
      </c>
    </row>
    <row r="78" spans="1:9" hidden="1">
      <c r="A78" s="25" t="s">
        <v>115</v>
      </c>
      <c r="B78" s="27"/>
      <c r="C78" s="26">
        <v>46084</v>
      </c>
      <c r="D78" s="26"/>
      <c r="F78" s="25" t="s">
        <v>153</v>
      </c>
      <c r="G78" s="25"/>
      <c r="H78" s="27">
        <v>16.920000000000002</v>
      </c>
    </row>
    <row r="79" spans="1:9" hidden="1">
      <c r="A79" s="25" t="s">
        <v>118</v>
      </c>
      <c r="B79" s="27"/>
      <c r="C79" s="26">
        <v>46111</v>
      </c>
      <c r="D79" s="26"/>
      <c r="F79" s="25" t="s">
        <v>177</v>
      </c>
      <c r="G79" s="25"/>
      <c r="H79" s="27">
        <v>17.45</v>
      </c>
    </row>
    <row r="80" spans="1:9" hidden="1">
      <c r="A80" s="25" t="s">
        <v>172</v>
      </c>
      <c r="B80" s="27"/>
      <c r="C80" s="26">
        <v>46207</v>
      </c>
      <c r="D80" s="26"/>
      <c r="F80" s="25" t="s">
        <v>185</v>
      </c>
      <c r="G80" s="25"/>
      <c r="H80" s="27">
        <v>62.45</v>
      </c>
    </row>
    <row r="81" spans="1:8" hidden="1">
      <c r="A81" s="25" t="s">
        <v>174</v>
      </c>
      <c r="B81" s="27"/>
      <c r="C81" s="26">
        <v>46222</v>
      </c>
      <c r="D81" s="26"/>
      <c r="F81" s="25" t="s">
        <v>190</v>
      </c>
      <c r="G81" s="25"/>
      <c r="H81" s="27">
        <v>180.54</v>
      </c>
    </row>
    <row r="82" spans="1:8" hidden="1">
      <c r="A82" s="25" t="s">
        <v>186</v>
      </c>
      <c r="B82" s="27"/>
      <c r="C82" s="26">
        <v>46207</v>
      </c>
      <c r="D82" s="26"/>
      <c r="F82" s="25" t="s">
        <v>224</v>
      </c>
      <c r="G82" s="25"/>
      <c r="H82" s="27">
        <v>247.82</v>
      </c>
    </row>
    <row r="83" spans="1:8" hidden="1">
      <c r="A83" s="25" t="s">
        <v>215</v>
      </c>
      <c r="B83" s="27"/>
      <c r="C83" s="26">
        <v>46023</v>
      </c>
      <c r="D83" s="26"/>
      <c r="F83" s="25" t="s">
        <v>229</v>
      </c>
      <c r="G83" s="25"/>
      <c r="H83" s="27">
        <v>20.85</v>
      </c>
    </row>
    <row r="84" spans="1:8" hidden="1">
      <c r="A84" s="25" t="s">
        <v>219</v>
      </c>
      <c r="B84" s="27"/>
      <c r="C84" s="26">
        <v>46116</v>
      </c>
      <c r="D84" s="26"/>
      <c r="F84" s="25" t="s">
        <v>240</v>
      </c>
      <c r="G84" s="25"/>
      <c r="H84" s="27">
        <v>2013</v>
      </c>
    </row>
    <row r="85" spans="1:8" hidden="1">
      <c r="A85" s="25" t="s">
        <v>225</v>
      </c>
      <c r="B85" s="27" t="s">
        <v>226</v>
      </c>
      <c r="C85" s="26">
        <v>45767</v>
      </c>
      <c r="D85" s="26"/>
      <c r="F85" s="25" t="s">
        <v>245</v>
      </c>
      <c r="G85" s="25"/>
      <c r="H85" s="27">
        <v>16.940000000000001</v>
      </c>
    </row>
    <row r="86" spans="1:8">
      <c r="A86" s="25" t="s">
        <v>258</v>
      </c>
      <c r="B86" s="27"/>
      <c r="C86" s="26">
        <v>46208</v>
      </c>
      <c r="D86" s="26"/>
      <c r="F86" s="25" t="s">
        <v>260</v>
      </c>
      <c r="G86" s="25"/>
      <c r="H86" s="27">
        <v>5.6</v>
      </c>
    </row>
    <row r="87" spans="1:8">
      <c r="A87" s="25" t="s">
        <v>291</v>
      </c>
      <c r="B87" s="27"/>
      <c r="C87" s="26">
        <v>46091</v>
      </c>
      <c r="D87" s="26"/>
      <c r="F87" s="25" t="s">
        <v>283</v>
      </c>
      <c r="G87" s="25"/>
      <c r="H87" s="27">
        <v>74.180000000000007</v>
      </c>
    </row>
    <row r="88" spans="1:8">
      <c r="A88" s="25" t="s">
        <v>297</v>
      </c>
      <c r="B88" s="27"/>
      <c r="C88" s="26">
        <v>46083</v>
      </c>
      <c r="D88" s="26"/>
      <c r="F88" s="25" t="s">
        <v>306</v>
      </c>
      <c r="G88" s="25"/>
      <c r="H88" s="27">
        <v>14.85</v>
      </c>
    </row>
    <row r="89" spans="1:8">
      <c r="A89" s="25" t="s">
        <v>301</v>
      </c>
      <c r="B89" s="27">
        <v>-1</v>
      </c>
      <c r="C89" s="26">
        <v>46205</v>
      </c>
      <c r="D89" s="26"/>
    </row>
  </sheetData>
  <mergeCells count="9">
    <mergeCell ref="I25:P26"/>
    <mergeCell ref="A1:C2"/>
    <mergeCell ref="A21:C22"/>
    <mergeCell ref="A43:C45"/>
    <mergeCell ref="A67:C69"/>
    <mergeCell ref="F1:H2"/>
    <mergeCell ref="F21:H22"/>
    <mergeCell ref="F43:H45"/>
    <mergeCell ref="F67:H69"/>
  </mergeCells>
  <conditionalFormatting sqref="A23:A38">
    <cfRule type="duplicateValues" dxfId="9" priority="7"/>
  </conditionalFormatting>
  <conditionalFormatting sqref="A46:A63">
    <cfRule type="duplicateValues" dxfId="8" priority="5"/>
  </conditionalFormatting>
  <conditionalFormatting sqref="A70:A89">
    <cfRule type="duplicateValues" dxfId="7" priority="3"/>
  </conditionalFormatting>
  <conditionalFormatting sqref="B3:B18">
    <cfRule type="duplicateValues" dxfId="6" priority="10"/>
  </conditionalFormatting>
  <conditionalFormatting sqref="F20">
    <cfRule type="duplicateValues" dxfId="5" priority="8"/>
  </conditionalFormatting>
  <conditionalFormatting sqref="F23:F41">
    <cfRule type="duplicateValues" dxfId="4" priority="6"/>
  </conditionalFormatting>
  <conditionalFormatting sqref="F46:F66">
    <cfRule type="duplicateValues" dxfId="3" priority="4"/>
  </conditionalFormatting>
  <conditionalFormatting sqref="F70:F88">
    <cfRule type="duplicateValues" dxfId="2" priority="2"/>
  </conditionalFormatting>
  <conditionalFormatting sqref="G3:G19">
    <cfRule type="duplicateValues" dxfId="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9F46-8418-437F-B85C-6806DC4ED806}">
  <dimension ref="A1:G295"/>
  <sheetViews>
    <sheetView workbookViewId="0">
      <selection activeCell="A3" sqref="A3:G295"/>
    </sheetView>
  </sheetViews>
  <sheetFormatPr defaultRowHeight="14.5"/>
  <cols>
    <col min="1" max="1" width="15.6328125" bestFit="1" customWidth="1"/>
    <col min="2" max="2" width="15.7265625" bestFit="1" customWidth="1"/>
    <col min="3" max="3" width="16.08984375" bestFit="1" customWidth="1"/>
    <col min="4" max="4" width="17.90625" bestFit="1" customWidth="1"/>
    <col min="5" max="5" width="10.26953125" bestFit="1" customWidth="1"/>
    <col min="6" max="6" width="11.7265625" bestFit="1" customWidth="1"/>
    <col min="7" max="7" width="9.54296875" bestFit="1" customWidth="1"/>
  </cols>
  <sheetData>
    <row r="1" spans="1:7">
      <c r="A1" s="12" t="s">
        <v>337</v>
      </c>
    </row>
    <row r="3" spans="1:7">
      <c r="A3" t="s">
        <v>0</v>
      </c>
      <c r="B3" t="s">
        <v>1</v>
      </c>
      <c r="C3" t="s">
        <v>2</v>
      </c>
      <c r="D3" t="s">
        <v>3</v>
      </c>
      <c r="E3" t="s">
        <v>4</v>
      </c>
      <c r="F3" t="s">
        <v>5</v>
      </c>
      <c r="G3" t="s">
        <v>6</v>
      </c>
    </row>
    <row r="4" spans="1:7">
      <c r="A4" t="s">
        <v>11</v>
      </c>
      <c r="B4" s="11">
        <v>46141</v>
      </c>
      <c r="C4" t="s">
        <v>12</v>
      </c>
      <c r="D4" t="s">
        <v>13</v>
      </c>
      <c r="E4">
        <v>8</v>
      </c>
      <c r="F4">
        <v>28.52</v>
      </c>
      <c r="G4" t="s">
        <v>14</v>
      </c>
    </row>
    <row r="5" spans="1:7">
      <c r="A5" t="s">
        <v>308</v>
      </c>
      <c r="B5" s="11">
        <v>45792</v>
      </c>
      <c r="C5" t="s">
        <v>12</v>
      </c>
      <c r="D5" t="s">
        <v>13</v>
      </c>
      <c r="E5">
        <v>4</v>
      </c>
      <c r="F5">
        <v>48.36</v>
      </c>
      <c r="G5" t="s">
        <v>10</v>
      </c>
    </row>
    <row r="6" spans="1:7">
      <c r="A6" t="s">
        <v>24</v>
      </c>
      <c r="B6" s="11">
        <v>45747</v>
      </c>
      <c r="C6" t="s">
        <v>12</v>
      </c>
      <c r="D6" t="s">
        <v>13</v>
      </c>
      <c r="E6">
        <v>5</v>
      </c>
      <c r="F6">
        <v>37.11</v>
      </c>
      <c r="G6" t="s">
        <v>10</v>
      </c>
    </row>
    <row r="7" spans="1:7">
      <c r="A7" t="s">
        <v>31</v>
      </c>
      <c r="B7" s="11">
        <v>45833</v>
      </c>
      <c r="C7" t="s">
        <v>12</v>
      </c>
      <c r="D7" t="s">
        <v>13</v>
      </c>
      <c r="E7">
        <v>7</v>
      </c>
      <c r="F7">
        <v>66.59</v>
      </c>
      <c r="G7" t="s">
        <v>10</v>
      </c>
    </row>
    <row r="8" spans="1:7">
      <c r="A8" t="s">
        <v>39</v>
      </c>
      <c r="B8" s="11">
        <v>46028</v>
      </c>
      <c r="C8" t="s">
        <v>12</v>
      </c>
      <c r="D8" t="s">
        <v>13</v>
      </c>
      <c r="E8">
        <v>7</v>
      </c>
      <c r="F8">
        <v>48.09</v>
      </c>
      <c r="G8" t="s">
        <v>323</v>
      </c>
    </row>
    <row r="9" spans="1:7">
      <c r="A9" t="s">
        <v>41</v>
      </c>
      <c r="B9" s="11">
        <v>46205</v>
      </c>
      <c r="C9" t="s">
        <v>12</v>
      </c>
      <c r="D9" t="s">
        <v>13</v>
      </c>
      <c r="E9">
        <v>5</v>
      </c>
      <c r="F9">
        <v>28.03</v>
      </c>
      <c r="G9" t="s">
        <v>14</v>
      </c>
    </row>
    <row r="10" spans="1:7">
      <c r="A10" t="s">
        <v>49</v>
      </c>
      <c r="B10" s="11">
        <v>46185</v>
      </c>
      <c r="C10" t="s">
        <v>12</v>
      </c>
      <c r="D10" t="s">
        <v>13</v>
      </c>
      <c r="E10">
        <v>0</v>
      </c>
      <c r="F10">
        <v>49.58</v>
      </c>
      <c r="G10" t="s">
        <v>51</v>
      </c>
    </row>
    <row r="11" spans="1:7">
      <c r="A11" t="s">
        <v>60</v>
      </c>
      <c r="B11" s="11">
        <v>45932</v>
      </c>
      <c r="C11" t="s">
        <v>12</v>
      </c>
      <c r="D11" t="s">
        <v>13</v>
      </c>
      <c r="E11">
        <v>4</v>
      </c>
      <c r="F11">
        <v>47.8</v>
      </c>
      <c r="G11" t="s">
        <v>10</v>
      </c>
    </row>
    <row r="12" spans="1:7">
      <c r="A12" t="s">
        <v>64</v>
      </c>
      <c r="B12" s="11">
        <v>45730</v>
      </c>
      <c r="C12" t="s">
        <v>12</v>
      </c>
      <c r="D12" t="s">
        <v>13</v>
      </c>
      <c r="E12">
        <v>3</v>
      </c>
      <c r="F12">
        <v>52.56</v>
      </c>
      <c r="G12" t="s">
        <v>33</v>
      </c>
    </row>
    <row r="13" spans="1:7">
      <c r="A13" t="s">
        <v>65</v>
      </c>
      <c r="B13" s="11">
        <v>45973</v>
      </c>
      <c r="C13" t="s">
        <v>12</v>
      </c>
      <c r="D13" t="s">
        <v>13</v>
      </c>
      <c r="E13">
        <v>1</v>
      </c>
      <c r="F13">
        <v>25.9</v>
      </c>
      <c r="G13" t="s">
        <v>51</v>
      </c>
    </row>
    <row r="14" spans="1:7">
      <c r="A14" t="s">
        <v>66</v>
      </c>
      <c r="B14" s="11">
        <v>46108</v>
      </c>
      <c r="C14" t="s">
        <v>12</v>
      </c>
      <c r="D14" t="s">
        <v>13</v>
      </c>
      <c r="E14">
        <v>5</v>
      </c>
      <c r="F14">
        <v>25.76</v>
      </c>
      <c r="G14" t="s">
        <v>33</v>
      </c>
    </row>
    <row r="15" spans="1:7">
      <c r="A15" t="s">
        <v>70</v>
      </c>
      <c r="B15" s="11">
        <v>45687</v>
      </c>
      <c r="C15" t="s">
        <v>12</v>
      </c>
      <c r="D15" t="s">
        <v>13</v>
      </c>
      <c r="E15">
        <v>1</v>
      </c>
      <c r="F15">
        <v>53.33</v>
      </c>
      <c r="G15" t="s">
        <v>51</v>
      </c>
    </row>
    <row r="16" spans="1:7">
      <c r="A16" t="s">
        <v>81</v>
      </c>
      <c r="B16" s="11">
        <v>73050</v>
      </c>
      <c r="C16" t="s">
        <v>8</v>
      </c>
      <c r="D16" t="s">
        <v>13</v>
      </c>
      <c r="E16">
        <v>3</v>
      </c>
      <c r="F16">
        <v>39.08</v>
      </c>
      <c r="G16" t="s">
        <v>10</v>
      </c>
    </row>
    <row r="17" spans="1:7">
      <c r="A17" t="s">
        <v>88</v>
      </c>
      <c r="B17" s="11">
        <v>45706</v>
      </c>
      <c r="C17" t="s">
        <v>12</v>
      </c>
      <c r="D17" t="s">
        <v>13</v>
      </c>
      <c r="E17">
        <v>6</v>
      </c>
      <c r="F17">
        <v>34.22</v>
      </c>
      <c r="G17" t="s">
        <v>51</v>
      </c>
    </row>
    <row r="18" spans="1:7">
      <c r="A18" t="s">
        <v>89</v>
      </c>
      <c r="B18" s="11">
        <v>46083</v>
      </c>
      <c r="C18" t="s">
        <v>12</v>
      </c>
      <c r="D18" t="s">
        <v>13</v>
      </c>
      <c r="E18">
        <v>7</v>
      </c>
      <c r="F18">
        <v>28.52</v>
      </c>
      <c r="G18" t="s">
        <v>10</v>
      </c>
    </row>
    <row r="19" spans="1:7">
      <c r="A19" t="s">
        <v>90</v>
      </c>
      <c r="B19" s="11">
        <v>73050</v>
      </c>
      <c r="C19" t="s">
        <v>12</v>
      </c>
      <c r="D19" t="s">
        <v>13</v>
      </c>
      <c r="E19">
        <v>4</v>
      </c>
      <c r="F19">
        <v>47.56</v>
      </c>
      <c r="G19" t="s">
        <v>10</v>
      </c>
    </row>
    <row r="20" spans="1:7">
      <c r="A20" t="s">
        <v>312</v>
      </c>
      <c r="B20" s="11">
        <v>46188</v>
      </c>
      <c r="C20" t="s">
        <v>12</v>
      </c>
      <c r="D20" t="s">
        <v>13</v>
      </c>
      <c r="E20">
        <v>1</v>
      </c>
      <c r="F20">
        <v>45.21</v>
      </c>
      <c r="G20" t="s">
        <v>33</v>
      </c>
    </row>
    <row r="21" spans="1:7">
      <c r="A21" t="s">
        <v>117</v>
      </c>
      <c r="B21" s="11">
        <v>46135</v>
      </c>
      <c r="C21" t="s">
        <v>12</v>
      </c>
      <c r="D21" t="s">
        <v>13</v>
      </c>
      <c r="E21">
        <v>5</v>
      </c>
      <c r="F21">
        <v>68.87</v>
      </c>
      <c r="G21" t="s">
        <v>10</v>
      </c>
    </row>
    <row r="22" spans="1:7">
      <c r="A22" t="s">
        <v>119</v>
      </c>
      <c r="B22" s="11">
        <v>73050</v>
      </c>
      <c r="C22" t="s">
        <v>12</v>
      </c>
      <c r="D22" t="s">
        <v>13</v>
      </c>
      <c r="E22">
        <v>4</v>
      </c>
      <c r="F22">
        <v>61.48</v>
      </c>
      <c r="G22" t="s">
        <v>10</v>
      </c>
    </row>
    <row r="23" spans="1:7">
      <c r="A23" t="s">
        <v>126</v>
      </c>
      <c r="B23" s="11">
        <v>45683</v>
      </c>
      <c r="C23" t="s">
        <v>12</v>
      </c>
      <c r="D23" t="s">
        <v>13</v>
      </c>
      <c r="E23">
        <v>5</v>
      </c>
      <c r="F23">
        <v>42.76</v>
      </c>
      <c r="G23" t="s">
        <v>10</v>
      </c>
    </row>
    <row r="24" spans="1:7">
      <c r="A24" t="s">
        <v>127</v>
      </c>
      <c r="B24" s="11">
        <v>46166</v>
      </c>
      <c r="C24" t="s">
        <v>12</v>
      </c>
      <c r="D24" t="s">
        <v>13</v>
      </c>
      <c r="E24">
        <v>1</v>
      </c>
      <c r="F24">
        <v>46.34</v>
      </c>
      <c r="G24" t="s">
        <v>51</v>
      </c>
    </row>
    <row r="25" spans="1:7">
      <c r="A25" t="s">
        <v>130</v>
      </c>
      <c r="B25" s="11">
        <v>45852</v>
      </c>
      <c r="C25" t="s">
        <v>8</v>
      </c>
      <c r="D25" t="s">
        <v>13</v>
      </c>
      <c r="E25">
        <v>8</v>
      </c>
      <c r="F25">
        <v>50.43</v>
      </c>
      <c r="G25" t="s">
        <v>10</v>
      </c>
    </row>
    <row r="26" spans="1:7">
      <c r="A26" t="s">
        <v>131</v>
      </c>
      <c r="B26" s="11">
        <v>45737</v>
      </c>
      <c r="C26" t="s">
        <v>8</v>
      </c>
      <c r="D26" t="s">
        <v>13</v>
      </c>
      <c r="E26">
        <v>5</v>
      </c>
      <c r="F26">
        <v>57.14</v>
      </c>
      <c r="G26" t="s">
        <v>10</v>
      </c>
    </row>
    <row r="27" spans="1:7">
      <c r="A27" t="s">
        <v>136</v>
      </c>
      <c r="B27" t="s">
        <v>324</v>
      </c>
      <c r="C27" t="s">
        <v>12</v>
      </c>
      <c r="D27" t="s">
        <v>13</v>
      </c>
      <c r="E27">
        <v>6</v>
      </c>
      <c r="F27">
        <v>43.97</v>
      </c>
      <c r="G27" t="s">
        <v>51</v>
      </c>
    </row>
    <row r="28" spans="1:7">
      <c r="A28" t="s">
        <v>138</v>
      </c>
      <c r="B28" s="11">
        <v>45747</v>
      </c>
      <c r="C28" t="s">
        <v>12</v>
      </c>
      <c r="D28" t="s">
        <v>13</v>
      </c>
      <c r="E28">
        <v>5</v>
      </c>
      <c r="F28">
        <v>45.89</v>
      </c>
      <c r="G28" t="s">
        <v>10</v>
      </c>
    </row>
    <row r="29" spans="1:7">
      <c r="A29" t="s">
        <v>139</v>
      </c>
      <c r="B29" s="11">
        <v>46141</v>
      </c>
      <c r="C29" t="s">
        <v>8</v>
      </c>
      <c r="D29" t="s">
        <v>13</v>
      </c>
      <c r="E29">
        <v>8</v>
      </c>
      <c r="F29">
        <v>60.52</v>
      </c>
      <c r="G29" t="s">
        <v>10</v>
      </c>
    </row>
    <row r="30" spans="1:7">
      <c r="A30" t="s">
        <v>142</v>
      </c>
      <c r="B30" s="11">
        <v>45761</v>
      </c>
      <c r="C30" t="s">
        <v>8</v>
      </c>
      <c r="D30" t="s">
        <v>13</v>
      </c>
      <c r="E30">
        <v>4</v>
      </c>
      <c r="F30">
        <v>70.36</v>
      </c>
      <c r="G30" t="s">
        <v>33</v>
      </c>
    </row>
    <row r="31" spans="1:7">
      <c r="A31" t="s">
        <v>148</v>
      </c>
      <c r="B31" s="11">
        <v>46064</v>
      </c>
      <c r="C31" t="s">
        <v>8</v>
      </c>
      <c r="D31" t="s">
        <v>13</v>
      </c>
      <c r="E31">
        <v>5</v>
      </c>
      <c r="F31">
        <v>55.05</v>
      </c>
      <c r="G31" t="s">
        <v>51</v>
      </c>
    </row>
    <row r="32" spans="1:7">
      <c r="A32" t="s">
        <v>151</v>
      </c>
      <c r="B32" s="11">
        <v>46179</v>
      </c>
      <c r="C32" t="s">
        <v>8</v>
      </c>
      <c r="D32" t="s">
        <v>13</v>
      </c>
      <c r="E32">
        <v>1</v>
      </c>
      <c r="F32">
        <v>54.06</v>
      </c>
      <c r="G32" t="s">
        <v>10</v>
      </c>
    </row>
    <row r="33" spans="1:7">
      <c r="A33" t="s">
        <v>154</v>
      </c>
      <c r="B33" s="11">
        <v>46212</v>
      </c>
      <c r="C33" t="s">
        <v>8</v>
      </c>
      <c r="D33" t="s">
        <v>13</v>
      </c>
      <c r="E33">
        <v>8</v>
      </c>
      <c r="F33">
        <v>45.98</v>
      </c>
      <c r="G33" t="s">
        <v>16</v>
      </c>
    </row>
    <row r="34" spans="1:7">
      <c r="A34" t="s">
        <v>158</v>
      </c>
      <c r="B34" s="11">
        <v>45824</v>
      </c>
      <c r="C34" t="s">
        <v>8</v>
      </c>
      <c r="D34" t="s">
        <v>13</v>
      </c>
      <c r="E34">
        <v>0</v>
      </c>
      <c r="F34">
        <v>41.97</v>
      </c>
      <c r="G34" t="s">
        <v>16</v>
      </c>
    </row>
    <row r="35" spans="1:7">
      <c r="A35" t="s">
        <v>162</v>
      </c>
      <c r="B35" s="11">
        <v>45944</v>
      </c>
      <c r="C35" t="s">
        <v>12</v>
      </c>
      <c r="D35" t="s">
        <v>13</v>
      </c>
      <c r="E35">
        <v>8</v>
      </c>
      <c r="F35">
        <v>68.62</v>
      </c>
      <c r="G35" t="s">
        <v>10</v>
      </c>
    </row>
    <row r="36" spans="1:7">
      <c r="A36" t="s">
        <v>167</v>
      </c>
      <c r="B36" s="11">
        <v>46047</v>
      </c>
      <c r="C36" t="s">
        <v>8</v>
      </c>
      <c r="D36" t="s">
        <v>13</v>
      </c>
      <c r="E36">
        <v>6</v>
      </c>
      <c r="F36">
        <v>67.680000000000007</v>
      </c>
      <c r="G36" t="s">
        <v>14</v>
      </c>
    </row>
    <row r="37" spans="1:7">
      <c r="A37" t="s">
        <v>183</v>
      </c>
      <c r="B37" s="11">
        <v>45783</v>
      </c>
      <c r="C37" t="s">
        <v>12</v>
      </c>
      <c r="D37" t="s">
        <v>13</v>
      </c>
      <c r="E37">
        <v>3</v>
      </c>
      <c r="F37">
        <v>54.06</v>
      </c>
      <c r="G37" t="s">
        <v>10</v>
      </c>
    </row>
    <row r="38" spans="1:7">
      <c r="A38" t="s">
        <v>185</v>
      </c>
      <c r="B38" s="11">
        <v>45790</v>
      </c>
      <c r="C38" t="s">
        <v>12</v>
      </c>
      <c r="D38" t="s">
        <v>13</v>
      </c>
      <c r="E38">
        <v>8</v>
      </c>
      <c r="F38">
        <v>62.45</v>
      </c>
      <c r="G38" t="s">
        <v>323</v>
      </c>
    </row>
    <row r="39" spans="1:7">
      <c r="A39" t="s">
        <v>194</v>
      </c>
      <c r="B39" s="11">
        <v>45861</v>
      </c>
      <c r="C39" t="s">
        <v>8</v>
      </c>
      <c r="D39" t="s">
        <v>13</v>
      </c>
      <c r="E39">
        <v>6</v>
      </c>
      <c r="F39">
        <v>42.2</v>
      </c>
      <c r="G39" t="s">
        <v>10</v>
      </c>
    </row>
    <row r="40" spans="1:7">
      <c r="A40" t="s">
        <v>202</v>
      </c>
      <c r="B40" s="11">
        <v>46209</v>
      </c>
      <c r="C40" t="s">
        <v>12</v>
      </c>
      <c r="D40" t="s">
        <v>13</v>
      </c>
      <c r="E40">
        <v>1</v>
      </c>
      <c r="F40">
        <v>36.229999999999997</v>
      </c>
      <c r="G40" t="s">
        <v>10</v>
      </c>
    </row>
    <row r="41" spans="1:7">
      <c r="A41" t="s">
        <v>203</v>
      </c>
      <c r="B41" s="11">
        <v>46020</v>
      </c>
      <c r="C41" t="s">
        <v>12</v>
      </c>
      <c r="D41" t="s">
        <v>13</v>
      </c>
      <c r="E41">
        <v>8</v>
      </c>
      <c r="F41">
        <v>39.08</v>
      </c>
      <c r="G41" t="s">
        <v>14</v>
      </c>
    </row>
    <row r="42" spans="1:7">
      <c r="A42" t="s">
        <v>206</v>
      </c>
      <c r="B42" s="11">
        <v>45832</v>
      </c>
      <c r="C42" t="s">
        <v>12</v>
      </c>
      <c r="D42" t="s">
        <v>13</v>
      </c>
      <c r="E42">
        <v>3</v>
      </c>
      <c r="F42">
        <v>46.32</v>
      </c>
      <c r="G42" t="s">
        <v>51</v>
      </c>
    </row>
    <row r="43" spans="1:7">
      <c r="A43" t="s">
        <v>208</v>
      </c>
      <c r="B43" s="11">
        <v>45925</v>
      </c>
      <c r="C43" t="s">
        <v>8</v>
      </c>
      <c r="D43" t="s">
        <v>13</v>
      </c>
      <c r="E43">
        <v>5</v>
      </c>
      <c r="F43">
        <v>47.62</v>
      </c>
      <c r="G43" t="s">
        <v>10</v>
      </c>
    </row>
    <row r="44" spans="1:7">
      <c r="A44" t="s">
        <v>209</v>
      </c>
      <c r="B44" s="11">
        <v>46149</v>
      </c>
      <c r="C44" t="s">
        <v>8</v>
      </c>
      <c r="D44" t="s">
        <v>13</v>
      </c>
      <c r="E44">
        <v>1</v>
      </c>
      <c r="F44">
        <v>33.549999999999997</v>
      </c>
      <c r="G44" t="s">
        <v>33</v>
      </c>
    </row>
    <row r="45" spans="1:7">
      <c r="A45" t="s">
        <v>214</v>
      </c>
      <c r="B45" s="11">
        <v>46022</v>
      </c>
      <c r="C45" t="s">
        <v>8</v>
      </c>
      <c r="D45" t="s">
        <v>13</v>
      </c>
      <c r="E45">
        <v>1</v>
      </c>
      <c r="F45">
        <v>63.75</v>
      </c>
      <c r="G45" t="s">
        <v>14</v>
      </c>
    </row>
    <row r="46" spans="1:7">
      <c r="A46" t="s">
        <v>217</v>
      </c>
      <c r="B46" s="11">
        <v>73050</v>
      </c>
      <c r="C46" t="s">
        <v>12</v>
      </c>
      <c r="D46" t="s">
        <v>13</v>
      </c>
      <c r="E46">
        <v>7</v>
      </c>
      <c r="F46">
        <v>29.41</v>
      </c>
      <c r="G46" t="s">
        <v>10</v>
      </c>
    </row>
    <row r="47" spans="1:7">
      <c r="A47" t="s">
        <v>219</v>
      </c>
      <c r="B47" s="11">
        <v>46116</v>
      </c>
      <c r="C47" t="s">
        <v>12</v>
      </c>
      <c r="D47" t="s">
        <v>13</v>
      </c>
      <c r="E47">
        <v>2</v>
      </c>
      <c r="F47">
        <v>0</v>
      </c>
      <c r="G47" t="s">
        <v>14</v>
      </c>
    </row>
    <row r="48" spans="1:7">
      <c r="A48" t="s">
        <v>231</v>
      </c>
      <c r="B48" s="11">
        <v>46140</v>
      </c>
      <c r="C48" t="s">
        <v>8</v>
      </c>
      <c r="D48" t="s">
        <v>13</v>
      </c>
      <c r="E48">
        <v>8</v>
      </c>
      <c r="F48">
        <v>38.53</v>
      </c>
      <c r="G48" t="s">
        <v>10</v>
      </c>
    </row>
    <row r="49" spans="1:7">
      <c r="A49" t="s">
        <v>242</v>
      </c>
      <c r="B49" t="s">
        <v>324</v>
      </c>
      <c r="C49" t="s">
        <v>12</v>
      </c>
      <c r="D49" t="s">
        <v>13</v>
      </c>
      <c r="E49">
        <v>4</v>
      </c>
      <c r="F49">
        <v>54.66</v>
      </c>
      <c r="G49" t="s">
        <v>14</v>
      </c>
    </row>
    <row r="50" spans="1:7">
      <c r="A50" t="s">
        <v>256</v>
      </c>
      <c r="B50" s="11">
        <v>45977</v>
      </c>
      <c r="C50" t="s">
        <v>12</v>
      </c>
      <c r="D50" t="s">
        <v>13</v>
      </c>
      <c r="E50">
        <v>2</v>
      </c>
      <c r="F50">
        <v>52.79</v>
      </c>
      <c r="G50" t="s">
        <v>23</v>
      </c>
    </row>
    <row r="51" spans="1:7">
      <c r="A51" t="s">
        <v>259</v>
      </c>
      <c r="B51" s="11">
        <v>45740</v>
      </c>
      <c r="C51" t="s">
        <v>8</v>
      </c>
      <c r="D51" t="s">
        <v>13</v>
      </c>
      <c r="E51">
        <v>6</v>
      </c>
      <c r="F51">
        <v>32.770000000000003</v>
      </c>
      <c r="G51" t="s">
        <v>14</v>
      </c>
    </row>
    <row r="52" spans="1:7">
      <c r="A52" t="s">
        <v>267</v>
      </c>
      <c r="B52" s="11">
        <v>45882</v>
      </c>
      <c r="C52" t="s">
        <v>12</v>
      </c>
      <c r="D52" t="s">
        <v>13</v>
      </c>
      <c r="E52">
        <v>3</v>
      </c>
      <c r="F52">
        <v>65.849999999999994</v>
      </c>
      <c r="G52" t="s">
        <v>10</v>
      </c>
    </row>
    <row r="53" spans="1:7">
      <c r="A53" t="s">
        <v>280</v>
      </c>
      <c r="B53" s="11">
        <v>46095</v>
      </c>
      <c r="C53" t="s">
        <v>8</v>
      </c>
      <c r="D53" t="s">
        <v>13</v>
      </c>
      <c r="E53">
        <v>0</v>
      </c>
      <c r="F53">
        <v>45.3</v>
      </c>
      <c r="G53" t="s">
        <v>14</v>
      </c>
    </row>
    <row r="54" spans="1:7">
      <c r="A54" t="s">
        <v>320</v>
      </c>
      <c r="B54" s="11">
        <v>45806</v>
      </c>
      <c r="C54" t="s">
        <v>12</v>
      </c>
      <c r="D54" t="s">
        <v>13</v>
      </c>
      <c r="E54">
        <v>6</v>
      </c>
      <c r="F54">
        <v>62.1</v>
      </c>
      <c r="G54" t="s">
        <v>23</v>
      </c>
    </row>
    <row r="55" spans="1:7">
      <c r="A55" t="s">
        <v>285</v>
      </c>
      <c r="B55" s="11">
        <v>46171</v>
      </c>
      <c r="C55" t="s">
        <v>8</v>
      </c>
      <c r="D55" t="s">
        <v>13</v>
      </c>
      <c r="E55">
        <v>5</v>
      </c>
      <c r="F55">
        <v>67.28</v>
      </c>
      <c r="G55" t="s">
        <v>10</v>
      </c>
    </row>
    <row r="56" spans="1:7">
      <c r="A56" t="s">
        <v>290</v>
      </c>
      <c r="B56" s="11">
        <v>46032</v>
      </c>
      <c r="C56" t="s">
        <v>8</v>
      </c>
      <c r="D56" t="s">
        <v>13</v>
      </c>
      <c r="E56">
        <v>7</v>
      </c>
      <c r="F56">
        <v>53.22</v>
      </c>
      <c r="G56" t="s">
        <v>10</v>
      </c>
    </row>
    <row r="57" spans="1:7">
      <c r="A57" t="s">
        <v>294</v>
      </c>
      <c r="B57" s="11">
        <v>45875</v>
      </c>
      <c r="C57" t="s">
        <v>12</v>
      </c>
      <c r="D57" t="s">
        <v>13</v>
      </c>
      <c r="E57">
        <v>0</v>
      </c>
      <c r="F57">
        <v>69.709999999999994</v>
      </c>
      <c r="G57" t="s">
        <v>16</v>
      </c>
    </row>
    <row r="58" spans="1:7">
      <c r="A58" t="s">
        <v>296</v>
      </c>
      <c r="B58" s="11">
        <v>46154</v>
      </c>
      <c r="C58" t="s">
        <v>12</v>
      </c>
      <c r="D58" t="s">
        <v>13</v>
      </c>
      <c r="E58">
        <v>4</v>
      </c>
      <c r="F58">
        <v>48.88</v>
      </c>
      <c r="G58" t="s">
        <v>33</v>
      </c>
    </row>
    <row r="59" spans="1:7">
      <c r="A59" t="s">
        <v>302</v>
      </c>
      <c r="B59" s="11">
        <v>46176</v>
      </c>
      <c r="C59" t="s">
        <v>12</v>
      </c>
      <c r="D59" t="s">
        <v>13</v>
      </c>
      <c r="E59">
        <v>2</v>
      </c>
      <c r="F59">
        <v>66.209999999999994</v>
      </c>
      <c r="G59" t="s">
        <v>33</v>
      </c>
    </row>
    <row r="60" spans="1:7">
      <c r="A60" t="s">
        <v>305</v>
      </c>
      <c r="B60" s="11">
        <v>46059</v>
      </c>
      <c r="C60" t="s">
        <v>8</v>
      </c>
      <c r="D60" t="s">
        <v>13</v>
      </c>
      <c r="E60">
        <v>4</v>
      </c>
      <c r="F60">
        <v>43.1</v>
      </c>
      <c r="G60" t="s">
        <v>10</v>
      </c>
    </row>
    <row r="61" spans="1:7">
      <c r="A61" t="s">
        <v>26</v>
      </c>
      <c r="B61" s="11">
        <v>45985</v>
      </c>
      <c r="C61" t="s">
        <v>12</v>
      </c>
      <c r="D61" t="s">
        <v>27</v>
      </c>
      <c r="E61">
        <v>8</v>
      </c>
      <c r="F61">
        <v>245.1</v>
      </c>
      <c r="G61" t="s">
        <v>14</v>
      </c>
    </row>
    <row r="62" spans="1:7">
      <c r="A62" t="s">
        <v>28</v>
      </c>
      <c r="B62" s="11">
        <v>45881</v>
      </c>
      <c r="C62" t="s">
        <v>12</v>
      </c>
      <c r="D62" t="s">
        <v>27</v>
      </c>
      <c r="E62">
        <v>0</v>
      </c>
      <c r="F62">
        <v>182.27</v>
      </c>
      <c r="G62" t="s">
        <v>14</v>
      </c>
    </row>
    <row r="63" spans="1:7">
      <c r="A63" t="s">
        <v>29</v>
      </c>
      <c r="B63" s="11">
        <v>45928</v>
      </c>
      <c r="C63" t="s">
        <v>12</v>
      </c>
      <c r="D63" t="s">
        <v>27</v>
      </c>
      <c r="E63">
        <v>7</v>
      </c>
      <c r="F63">
        <v>327.5</v>
      </c>
      <c r="G63" t="s">
        <v>23</v>
      </c>
    </row>
    <row r="64" spans="1:7">
      <c r="A64" t="s">
        <v>43</v>
      </c>
      <c r="B64" s="11">
        <v>45761</v>
      </c>
      <c r="C64" t="s">
        <v>12</v>
      </c>
      <c r="D64" t="s">
        <v>27</v>
      </c>
      <c r="E64">
        <v>6</v>
      </c>
      <c r="F64">
        <v>0</v>
      </c>
      <c r="G64" t="s">
        <v>14</v>
      </c>
    </row>
    <row r="65" spans="1:7">
      <c r="A65" t="s">
        <v>46</v>
      </c>
      <c r="B65" s="11">
        <v>45900</v>
      </c>
      <c r="C65" t="s">
        <v>12</v>
      </c>
      <c r="D65" t="s">
        <v>27</v>
      </c>
      <c r="E65">
        <v>6</v>
      </c>
      <c r="F65">
        <v>329.67</v>
      </c>
      <c r="G65" t="s">
        <v>10</v>
      </c>
    </row>
    <row r="66" spans="1:7">
      <c r="A66" t="s">
        <v>48</v>
      </c>
      <c r="B66" s="11">
        <v>73050</v>
      </c>
      <c r="C66" t="s">
        <v>12</v>
      </c>
      <c r="D66" t="s">
        <v>27</v>
      </c>
      <c r="E66">
        <v>5</v>
      </c>
      <c r="F66">
        <v>235.34</v>
      </c>
      <c r="G66" t="s">
        <v>10</v>
      </c>
    </row>
    <row r="67" spans="1:7">
      <c r="A67" t="s">
        <v>52</v>
      </c>
      <c r="B67" s="11">
        <v>45787</v>
      </c>
      <c r="C67" t="s">
        <v>12</v>
      </c>
      <c r="D67" t="s">
        <v>27</v>
      </c>
      <c r="E67">
        <v>2</v>
      </c>
      <c r="F67">
        <v>0</v>
      </c>
      <c r="G67" t="s">
        <v>10</v>
      </c>
    </row>
    <row r="68" spans="1:7">
      <c r="A68" t="s">
        <v>53</v>
      </c>
      <c r="B68" t="s">
        <v>324</v>
      </c>
      <c r="C68" t="s">
        <v>8</v>
      </c>
      <c r="D68" t="s">
        <v>27</v>
      </c>
      <c r="E68">
        <v>5</v>
      </c>
      <c r="F68">
        <v>141.30000000000001</v>
      </c>
      <c r="G68" t="s">
        <v>51</v>
      </c>
    </row>
    <row r="69" spans="1:7">
      <c r="A69" t="s">
        <v>55</v>
      </c>
      <c r="B69" s="11">
        <v>45751</v>
      </c>
      <c r="C69" t="s">
        <v>8</v>
      </c>
      <c r="D69" t="s">
        <v>27</v>
      </c>
      <c r="E69">
        <v>7</v>
      </c>
      <c r="F69">
        <v>145.01</v>
      </c>
      <c r="G69" t="s">
        <v>16</v>
      </c>
    </row>
    <row r="70" spans="1:7">
      <c r="A70" t="s">
        <v>63</v>
      </c>
      <c r="B70" s="11">
        <v>45720</v>
      </c>
      <c r="C70" t="s">
        <v>12</v>
      </c>
      <c r="D70" t="s">
        <v>27</v>
      </c>
      <c r="E70">
        <v>1</v>
      </c>
      <c r="F70">
        <v>345.15</v>
      </c>
      <c r="G70" t="s">
        <v>10</v>
      </c>
    </row>
    <row r="71" spans="1:7">
      <c r="A71" t="s">
        <v>310</v>
      </c>
      <c r="B71" s="11">
        <v>46091</v>
      </c>
      <c r="C71" t="s">
        <v>12</v>
      </c>
      <c r="D71" t="s">
        <v>27</v>
      </c>
      <c r="E71">
        <v>2</v>
      </c>
      <c r="F71">
        <v>168.49</v>
      </c>
      <c r="G71" t="s">
        <v>16</v>
      </c>
    </row>
    <row r="72" spans="1:7">
      <c r="A72" t="s">
        <v>67</v>
      </c>
      <c r="B72" s="11">
        <v>45778</v>
      </c>
      <c r="C72" t="s">
        <v>12</v>
      </c>
      <c r="D72" t="s">
        <v>27</v>
      </c>
      <c r="E72">
        <v>7</v>
      </c>
      <c r="F72">
        <v>316.54000000000002</v>
      </c>
      <c r="G72" t="s">
        <v>16</v>
      </c>
    </row>
    <row r="73" spans="1:7">
      <c r="A73" t="s">
        <v>73</v>
      </c>
      <c r="B73" s="11">
        <v>45909</v>
      </c>
      <c r="C73" t="s">
        <v>12</v>
      </c>
      <c r="D73" t="s">
        <v>27</v>
      </c>
      <c r="E73">
        <v>31</v>
      </c>
      <c r="F73">
        <v>351.05</v>
      </c>
      <c r="G73" t="s">
        <v>33</v>
      </c>
    </row>
    <row r="74" spans="1:7">
      <c r="A74" t="s">
        <v>78</v>
      </c>
      <c r="B74" s="11">
        <v>46050</v>
      </c>
      <c r="C74" t="s">
        <v>8</v>
      </c>
      <c r="D74" t="s">
        <v>27</v>
      </c>
      <c r="E74">
        <v>6</v>
      </c>
      <c r="F74">
        <v>0</v>
      </c>
      <c r="G74" t="s">
        <v>323</v>
      </c>
    </row>
    <row r="75" spans="1:7">
      <c r="A75" t="s">
        <v>80</v>
      </c>
      <c r="B75" s="11">
        <v>46109</v>
      </c>
      <c r="C75" t="s">
        <v>12</v>
      </c>
      <c r="D75" t="s">
        <v>27</v>
      </c>
      <c r="E75">
        <v>1</v>
      </c>
      <c r="F75">
        <v>132.47999999999999</v>
      </c>
      <c r="G75" t="s">
        <v>10</v>
      </c>
    </row>
    <row r="76" spans="1:7">
      <c r="A76" t="s">
        <v>87</v>
      </c>
      <c r="B76" s="11">
        <v>45870</v>
      </c>
      <c r="C76" t="s">
        <v>12</v>
      </c>
      <c r="D76" t="s">
        <v>27</v>
      </c>
      <c r="E76">
        <v>0</v>
      </c>
      <c r="F76">
        <v>144.02000000000001</v>
      </c>
      <c r="G76" t="s">
        <v>10</v>
      </c>
    </row>
    <row r="77" spans="1:7">
      <c r="A77" t="s">
        <v>93</v>
      </c>
      <c r="B77" t="s">
        <v>324</v>
      </c>
      <c r="C77" t="s">
        <v>12</v>
      </c>
      <c r="D77" t="s">
        <v>27</v>
      </c>
      <c r="E77">
        <v>3</v>
      </c>
      <c r="F77">
        <v>259.64999999999998</v>
      </c>
      <c r="G77" t="s">
        <v>16</v>
      </c>
    </row>
    <row r="78" spans="1:7">
      <c r="A78" t="s">
        <v>94</v>
      </c>
      <c r="B78" s="11">
        <v>45761</v>
      </c>
      <c r="C78" t="s">
        <v>8</v>
      </c>
      <c r="D78" t="s">
        <v>27</v>
      </c>
      <c r="E78">
        <v>5</v>
      </c>
      <c r="F78">
        <v>0</v>
      </c>
      <c r="G78" t="s">
        <v>33</v>
      </c>
    </row>
    <row r="79" spans="1:7">
      <c r="A79" t="s">
        <v>311</v>
      </c>
      <c r="B79" s="11">
        <v>45690</v>
      </c>
      <c r="C79" t="s">
        <v>12</v>
      </c>
      <c r="D79" t="s">
        <v>27</v>
      </c>
      <c r="E79">
        <v>8</v>
      </c>
      <c r="F79">
        <v>210</v>
      </c>
      <c r="G79" t="s">
        <v>10</v>
      </c>
    </row>
    <row r="80" spans="1:7">
      <c r="A80" t="s">
        <v>103</v>
      </c>
      <c r="B80" s="11">
        <v>45697</v>
      </c>
      <c r="C80" t="s">
        <v>12</v>
      </c>
      <c r="D80" t="s">
        <v>27</v>
      </c>
      <c r="E80">
        <v>2</v>
      </c>
      <c r="F80">
        <v>206.18</v>
      </c>
      <c r="G80" t="s">
        <v>14</v>
      </c>
    </row>
    <row r="81" spans="1:7">
      <c r="A81" t="s">
        <v>111</v>
      </c>
      <c r="B81" s="11">
        <v>45814</v>
      </c>
      <c r="C81" t="s">
        <v>8</v>
      </c>
      <c r="D81" t="s">
        <v>27</v>
      </c>
      <c r="E81">
        <v>1</v>
      </c>
      <c r="F81">
        <v>193.89</v>
      </c>
      <c r="G81" t="s">
        <v>14</v>
      </c>
    </row>
    <row r="82" spans="1:7">
      <c r="A82" t="s">
        <v>118</v>
      </c>
      <c r="B82" s="11">
        <v>46111</v>
      </c>
      <c r="C82" t="s">
        <v>12</v>
      </c>
      <c r="D82" t="s">
        <v>27</v>
      </c>
      <c r="E82">
        <v>8</v>
      </c>
      <c r="F82">
        <v>0</v>
      </c>
      <c r="G82" t="s">
        <v>16</v>
      </c>
    </row>
    <row r="83" spans="1:7">
      <c r="A83" t="s">
        <v>123</v>
      </c>
      <c r="B83" s="11">
        <v>46233</v>
      </c>
      <c r="C83" t="s">
        <v>12</v>
      </c>
      <c r="D83" t="s">
        <v>27</v>
      </c>
      <c r="E83">
        <v>8</v>
      </c>
      <c r="F83">
        <v>166.03</v>
      </c>
      <c r="G83" t="s">
        <v>10</v>
      </c>
    </row>
    <row r="84" spans="1:7">
      <c r="A84" t="s">
        <v>124</v>
      </c>
      <c r="B84" s="11">
        <v>46005</v>
      </c>
      <c r="C84" t="s">
        <v>12</v>
      </c>
      <c r="D84" t="s">
        <v>27</v>
      </c>
      <c r="E84">
        <v>0</v>
      </c>
      <c r="F84">
        <v>182</v>
      </c>
      <c r="G84" t="s">
        <v>14</v>
      </c>
    </row>
    <row r="85" spans="1:7">
      <c r="A85" t="s">
        <v>137</v>
      </c>
      <c r="B85" s="11">
        <v>45854</v>
      </c>
      <c r="C85" t="s">
        <v>12</v>
      </c>
      <c r="D85" t="s">
        <v>27</v>
      </c>
      <c r="E85">
        <v>3</v>
      </c>
      <c r="F85">
        <v>318.94</v>
      </c>
      <c r="G85" t="s">
        <v>14</v>
      </c>
    </row>
    <row r="86" spans="1:7">
      <c r="A86" t="s">
        <v>140</v>
      </c>
      <c r="B86" s="11">
        <v>46085</v>
      </c>
      <c r="C86" t="s">
        <v>8</v>
      </c>
      <c r="D86" t="s">
        <v>27</v>
      </c>
      <c r="E86">
        <v>8</v>
      </c>
      <c r="F86">
        <v>272.25</v>
      </c>
      <c r="G86" t="s">
        <v>323</v>
      </c>
    </row>
    <row r="87" spans="1:7">
      <c r="A87" t="s">
        <v>145</v>
      </c>
      <c r="B87" t="s">
        <v>324</v>
      </c>
      <c r="C87" t="s">
        <v>8</v>
      </c>
      <c r="D87" t="s">
        <v>27</v>
      </c>
      <c r="E87">
        <v>5</v>
      </c>
      <c r="F87">
        <v>335.42</v>
      </c>
      <c r="G87" t="s">
        <v>16</v>
      </c>
    </row>
    <row r="88" spans="1:7">
      <c r="A88" t="s">
        <v>146</v>
      </c>
      <c r="B88" s="11">
        <v>46137</v>
      </c>
      <c r="C88" t="s">
        <v>8</v>
      </c>
      <c r="D88" t="s">
        <v>27</v>
      </c>
      <c r="E88">
        <v>7</v>
      </c>
      <c r="F88">
        <v>344.08</v>
      </c>
      <c r="G88" t="s">
        <v>10</v>
      </c>
    </row>
    <row r="89" spans="1:7">
      <c r="A89" t="s">
        <v>155</v>
      </c>
      <c r="B89" s="11">
        <v>46086</v>
      </c>
      <c r="C89" t="s">
        <v>8</v>
      </c>
      <c r="D89" t="s">
        <v>27</v>
      </c>
      <c r="E89">
        <v>2</v>
      </c>
      <c r="F89">
        <v>128.03</v>
      </c>
      <c r="G89" t="s">
        <v>10</v>
      </c>
    </row>
    <row r="90" spans="1:7">
      <c r="A90" t="s">
        <v>156</v>
      </c>
      <c r="B90" s="11">
        <v>45749</v>
      </c>
      <c r="C90" t="s">
        <v>12</v>
      </c>
      <c r="D90" t="s">
        <v>27</v>
      </c>
      <c r="E90">
        <v>2</v>
      </c>
      <c r="F90">
        <v>266.16000000000003</v>
      </c>
      <c r="G90" t="s">
        <v>10</v>
      </c>
    </row>
    <row r="91" spans="1:7">
      <c r="A91" t="s">
        <v>160</v>
      </c>
      <c r="B91" s="11">
        <v>46149</v>
      </c>
      <c r="C91" t="s">
        <v>8</v>
      </c>
      <c r="D91" t="s">
        <v>27</v>
      </c>
      <c r="E91">
        <v>7</v>
      </c>
      <c r="F91">
        <v>265.88</v>
      </c>
      <c r="G91" t="s">
        <v>10</v>
      </c>
    </row>
    <row r="92" spans="1:7">
      <c r="A92" t="s">
        <v>315</v>
      </c>
      <c r="B92" s="11">
        <v>45829</v>
      </c>
      <c r="C92" t="s">
        <v>12</v>
      </c>
      <c r="D92" t="s">
        <v>27</v>
      </c>
      <c r="E92">
        <v>1</v>
      </c>
      <c r="F92">
        <v>228.02</v>
      </c>
      <c r="G92" t="s">
        <v>33</v>
      </c>
    </row>
    <row r="93" spans="1:7">
      <c r="A93" t="s">
        <v>170</v>
      </c>
      <c r="B93" s="11">
        <v>45952</v>
      </c>
      <c r="C93" t="s">
        <v>12</v>
      </c>
      <c r="D93" t="s">
        <v>27</v>
      </c>
      <c r="E93">
        <v>3</v>
      </c>
      <c r="F93">
        <v>145.54</v>
      </c>
      <c r="G93" t="s">
        <v>10</v>
      </c>
    </row>
    <row r="94" spans="1:7">
      <c r="A94" t="s">
        <v>172</v>
      </c>
      <c r="B94" s="11">
        <v>46207</v>
      </c>
      <c r="C94" t="s">
        <v>8</v>
      </c>
      <c r="D94" t="s">
        <v>27</v>
      </c>
      <c r="E94">
        <v>8</v>
      </c>
      <c r="F94">
        <v>0</v>
      </c>
      <c r="G94" t="s">
        <v>14</v>
      </c>
    </row>
    <row r="95" spans="1:7">
      <c r="A95" t="s">
        <v>180</v>
      </c>
      <c r="B95" s="11">
        <v>45777</v>
      </c>
      <c r="C95" t="s">
        <v>12</v>
      </c>
      <c r="D95" t="s">
        <v>27</v>
      </c>
      <c r="E95">
        <v>4</v>
      </c>
      <c r="F95">
        <v>171.79</v>
      </c>
      <c r="G95" t="s">
        <v>51</v>
      </c>
    </row>
    <row r="96" spans="1:7">
      <c r="A96" t="s">
        <v>184</v>
      </c>
      <c r="B96" s="11">
        <v>46073</v>
      </c>
      <c r="C96" t="s">
        <v>12</v>
      </c>
      <c r="D96" t="s">
        <v>27</v>
      </c>
      <c r="E96">
        <v>3</v>
      </c>
      <c r="F96">
        <v>123.7</v>
      </c>
      <c r="G96" t="s">
        <v>16</v>
      </c>
    </row>
    <row r="97" spans="1:7">
      <c r="A97" t="s">
        <v>187</v>
      </c>
      <c r="B97" s="11">
        <v>46189</v>
      </c>
      <c r="C97" t="s">
        <v>12</v>
      </c>
      <c r="D97" t="s">
        <v>27</v>
      </c>
      <c r="E97">
        <v>7</v>
      </c>
      <c r="F97">
        <v>345.16</v>
      </c>
      <c r="G97" t="s">
        <v>14</v>
      </c>
    </row>
    <row r="98" spans="1:7">
      <c r="A98" t="s">
        <v>190</v>
      </c>
      <c r="B98" s="11">
        <v>45668</v>
      </c>
      <c r="C98" t="s">
        <v>8</v>
      </c>
      <c r="D98" t="s">
        <v>27</v>
      </c>
      <c r="E98">
        <v>5</v>
      </c>
      <c r="F98">
        <v>180.54</v>
      </c>
      <c r="G98" t="s">
        <v>323</v>
      </c>
    </row>
    <row r="99" spans="1:7">
      <c r="A99" t="s">
        <v>195</v>
      </c>
      <c r="B99" s="11">
        <v>45923</v>
      </c>
      <c r="C99" t="s">
        <v>8</v>
      </c>
      <c r="D99" t="s">
        <v>27</v>
      </c>
      <c r="E99">
        <v>3</v>
      </c>
      <c r="F99">
        <v>199.14</v>
      </c>
      <c r="G99" t="s">
        <v>16</v>
      </c>
    </row>
    <row r="100" spans="1:7">
      <c r="A100" t="s">
        <v>200</v>
      </c>
      <c r="B100" s="11">
        <v>46146</v>
      </c>
      <c r="C100" t="s">
        <v>8</v>
      </c>
      <c r="D100" t="s">
        <v>27</v>
      </c>
      <c r="E100">
        <v>6</v>
      </c>
      <c r="F100">
        <v>235.74</v>
      </c>
      <c r="G100" t="s">
        <v>10</v>
      </c>
    </row>
    <row r="101" spans="1:7">
      <c r="A101" t="s">
        <v>204</v>
      </c>
      <c r="B101" s="11">
        <v>45774</v>
      </c>
      <c r="C101" t="s">
        <v>12</v>
      </c>
      <c r="D101" t="s">
        <v>27</v>
      </c>
      <c r="E101">
        <v>1</v>
      </c>
      <c r="F101">
        <v>239.6</v>
      </c>
      <c r="G101" t="s">
        <v>23</v>
      </c>
    </row>
    <row r="102" spans="1:7">
      <c r="A102" t="s">
        <v>210</v>
      </c>
      <c r="B102" s="11">
        <v>73050</v>
      </c>
      <c r="C102" t="s">
        <v>8</v>
      </c>
      <c r="D102" t="s">
        <v>27</v>
      </c>
      <c r="E102">
        <v>7</v>
      </c>
      <c r="F102">
        <v>253.2</v>
      </c>
      <c r="G102" t="s">
        <v>10</v>
      </c>
    </row>
    <row r="103" spans="1:7">
      <c r="A103" t="s">
        <v>218</v>
      </c>
      <c r="B103" s="11">
        <v>45809</v>
      </c>
      <c r="C103" t="s">
        <v>12</v>
      </c>
      <c r="D103" t="s">
        <v>27</v>
      </c>
      <c r="E103">
        <v>1</v>
      </c>
      <c r="F103">
        <v>153.24</v>
      </c>
      <c r="G103" t="s">
        <v>16</v>
      </c>
    </row>
    <row r="104" spans="1:7">
      <c r="A104" t="s">
        <v>220</v>
      </c>
      <c r="B104" s="11">
        <v>46020</v>
      </c>
      <c r="C104" t="s">
        <v>12</v>
      </c>
      <c r="D104" t="s">
        <v>27</v>
      </c>
      <c r="E104">
        <v>8</v>
      </c>
      <c r="F104">
        <v>313.14</v>
      </c>
      <c r="G104" t="s">
        <v>10</v>
      </c>
    </row>
    <row r="105" spans="1:7">
      <c r="A105" t="s">
        <v>224</v>
      </c>
      <c r="B105" s="11">
        <v>45946</v>
      </c>
      <c r="C105" t="s">
        <v>12</v>
      </c>
      <c r="D105" t="s">
        <v>27</v>
      </c>
      <c r="E105">
        <v>1</v>
      </c>
      <c r="F105">
        <v>247.82</v>
      </c>
      <c r="G105" t="s">
        <v>323</v>
      </c>
    </row>
    <row r="106" spans="1:7">
      <c r="A106" t="s">
        <v>230</v>
      </c>
      <c r="B106" s="11">
        <v>45746</v>
      </c>
      <c r="C106" t="s">
        <v>8</v>
      </c>
      <c r="D106" t="s">
        <v>27</v>
      </c>
      <c r="E106">
        <v>1</v>
      </c>
      <c r="F106">
        <v>235.54</v>
      </c>
      <c r="G106" t="s">
        <v>16</v>
      </c>
    </row>
    <row r="107" spans="1:7">
      <c r="A107" t="s">
        <v>232</v>
      </c>
      <c r="B107" s="11">
        <v>45836</v>
      </c>
      <c r="C107" t="s">
        <v>8</v>
      </c>
      <c r="D107" t="s">
        <v>27</v>
      </c>
      <c r="E107">
        <v>0</v>
      </c>
      <c r="F107">
        <v>238.71</v>
      </c>
      <c r="G107" t="s">
        <v>14</v>
      </c>
    </row>
    <row r="108" spans="1:7">
      <c r="A108" t="s">
        <v>233</v>
      </c>
      <c r="B108" s="11">
        <v>45725</v>
      </c>
      <c r="C108" t="s">
        <v>12</v>
      </c>
      <c r="D108" t="s">
        <v>27</v>
      </c>
      <c r="E108">
        <v>0</v>
      </c>
      <c r="F108">
        <v>225.04</v>
      </c>
      <c r="G108" t="s">
        <v>10</v>
      </c>
    </row>
    <row r="109" spans="1:7">
      <c r="A109" t="s">
        <v>234</v>
      </c>
      <c r="B109" s="11">
        <v>45952</v>
      </c>
      <c r="C109" t="s">
        <v>12</v>
      </c>
      <c r="D109" t="s">
        <v>27</v>
      </c>
      <c r="E109">
        <v>8</v>
      </c>
      <c r="F109">
        <v>332.65</v>
      </c>
      <c r="G109" t="s">
        <v>16</v>
      </c>
    </row>
    <row r="110" spans="1:7">
      <c r="A110" t="s">
        <v>235</v>
      </c>
      <c r="B110" s="11">
        <v>45825</v>
      </c>
      <c r="C110" t="s">
        <v>8</v>
      </c>
      <c r="D110" t="s">
        <v>27</v>
      </c>
      <c r="E110">
        <v>2</v>
      </c>
      <c r="F110">
        <v>314.92</v>
      </c>
      <c r="G110" t="s">
        <v>10</v>
      </c>
    </row>
    <row r="111" spans="1:7">
      <c r="A111" t="s">
        <v>237</v>
      </c>
      <c r="B111" s="11">
        <v>45834</v>
      </c>
      <c r="C111" t="s">
        <v>12</v>
      </c>
      <c r="D111" t="s">
        <v>27</v>
      </c>
      <c r="E111">
        <v>0</v>
      </c>
      <c r="F111">
        <v>319.92</v>
      </c>
      <c r="G111" t="s">
        <v>10</v>
      </c>
    </row>
    <row r="112" spans="1:7">
      <c r="A112" t="s">
        <v>240</v>
      </c>
      <c r="B112" s="11">
        <v>45825</v>
      </c>
      <c r="C112" t="s">
        <v>12</v>
      </c>
      <c r="D112" t="s">
        <v>27</v>
      </c>
      <c r="E112">
        <v>3</v>
      </c>
      <c r="F112">
        <v>2013</v>
      </c>
      <c r="G112" t="s">
        <v>323</v>
      </c>
    </row>
    <row r="113" spans="1:7">
      <c r="A113" t="s">
        <v>244</v>
      </c>
      <c r="B113" s="11">
        <v>45756</v>
      </c>
      <c r="C113" t="s">
        <v>8</v>
      </c>
      <c r="D113" t="s">
        <v>27</v>
      </c>
      <c r="E113">
        <v>2</v>
      </c>
      <c r="F113">
        <v>340</v>
      </c>
      <c r="G113" t="s">
        <v>33</v>
      </c>
    </row>
    <row r="114" spans="1:7">
      <c r="A114" t="s">
        <v>248</v>
      </c>
      <c r="B114" s="11">
        <v>45749</v>
      </c>
      <c r="C114" t="s">
        <v>12</v>
      </c>
      <c r="D114" t="s">
        <v>27</v>
      </c>
      <c r="E114">
        <v>2</v>
      </c>
      <c r="F114">
        <v>165.11</v>
      </c>
      <c r="G114" t="s">
        <v>33</v>
      </c>
    </row>
    <row r="115" spans="1:7">
      <c r="A115" t="s">
        <v>255</v>
      </c>
      <c r="B115" s="11">
        <v>45955</v>
      </c>
      <c r="C115" t="s">
        <v>12</v>
      </c>
      <c r="D115" t="s">
        <v>27</v>
      </c>
      <c r="E115">
        <v>7</v>
      </c>
      <c r="F115">
        <v>132.63</v>
      </c>
      <c r="G115" t="s">
        <v>14</v>
      </c>
    </row>
    <row r="116" spans="1:7">
      <c r="A116" t="s">
        <v>261</v>
      </c>
      <c r="B116" s="11">
        <v>45993</v>
      </c>
      <c r="C116" t="s">
        <v>8</v>
      </c>
      <c r="D116" t="s">
        <v>27</v>
      </c>
      <c r="E116">
        <v>6</v>
      </c>
      <c r="F116">
        <v>265.89999999999998</v>
      </c>
      <c r="G116" t="s">
        <v>23</v>
      </c>
    </row>
    <row r="117" spans="1:7">
      <c r="A117" t="s">
        <v>319</v>
      </c>
      <c r="B117" s="11">
        <v>45997</v>
      </c>
      <c r="C117" t="s">
        <v>8</v>
      </c>
      <c r="D117" t="s">
        <v>27</v>
      </c>
      <c r="E117">
        <v>3</v>
      </c>
      <c r="F117">
        <v>280.95</v>
      </c>
      <c r="G117" t="s">
        <v>10</v>
      </c>
    </row>
    <row r="118" spans="1:7">
      <c r="A118" t="s">
        <v>263</v>
      </c>
      <c r="B118" s="11">
        <v>45784</v>
      </c>
      <c r="C118" t="s">
        <v>12</v>
      </c>
      <c r="D118" t="s">
        <v>27</v>
      </c>
      <c r="E118">
        <v>6</v>
      </c>
      <c r="F118">
        <v>255.37</v>
      </c>
      <c r="G118" t="s">
        <v>14</v>
      </c>
    </row>
    <row r="119" spans="1:7">
      <c r="A119" t="s">
        <v>264</v>
      </c>
      <c r="B119" s="11">
        <v>46170</v>
      </c>
      <c r="C119" t="s">
        <v>12</v>
      </c>
      <c r="D119" t="s">
        <v>27</v>
      </c>
      <c r="E119">
        <v>0</v>
      </c>
      <c r="F119">
        <v>270.89</v>
      </c>
      <c r="G119" t="s">
        <v>14</v>
      </c>
    </row>
    <row r="120" spans="1:7">
      <c r="A120" t="s">
        <v>270</v>
      </c>
      <c r="B120" s="11">
        <v>45933</v>
      </c>
      <c r="C120" t="s">
        <v>12</v>
      </c>
      <c r="D120" t="s">
        <v>27</v>
      </c>
      <c r="E120">
        <v>2</v>
      </c>
      <c r="F120">
        <v>187.79</v>
      </c>
      <c r="G120" t="s">
        <v>10</v>
      </c>
    </row>
    <row r="121" spans="1:7">
      <c r="A121" t="s">
        <v>272</v>
      </c>
      <c r="B121" s="11">
        <v>46048</v>
      </c>
      <c r="C121" t="s">
        <v>12</v>
      </c>
      <c r="D121" t="s">
        <v>27</v>
      </c>
      <c r="E121">
        <v>8</v>
      </c>
      <c r="F121">
        <v>186.36</v>
      </c>
      <c r="G121" t="s">
        <v>10</v>
      </c>
    </row>
    <row r="122" spans="1:7">
      <c r="A122" t="s">
        <v>277</v>
      </c>
      <c r="B122" s="11">
        <v>45735</v>
      </c>
      <c r="C122" t="s">
        <v>8</v>
      </c>
      <c r="D122" t="s">
        <v>27</v>
      </c>
      <c r="E122">
        <v>2</v>
      </c>
      <c r="F122">
        <v>157.30000000000001</v>
      </c>
      <c r="G122" t="s">
        <v>10</v>
      </c>
    </row>
    <row r="123" spans="1:7">
      <c r="A123" t="s">
        <v>279</v>
      </c>
      <c r="B123" s="11">
        <v>45800</v>
      </c>
      <c r="C123" t="s">
        <v>8</v>
      </c>
      <c r="D123" t="s">
        <v>27</v>
      </c>
      <c r="E123">
        <v>4</v>
      </c>
      <c r="F123">
        <v>249.79</v>
      </c>
      <c r="G123" t="s">
        <v>23</v>
      </c>
    </row>
    <row r="124" spans="1:7">
      <c r="A124" t="s">
        <v>286</v>
      </c>
      <c r="B124" s="11">
        <v>46225</v>
      </c>
      <c r="C124" t="s">
        <v>8</v>
      </c>
      <c r="D124" t="s">
        <v>27</v>
      </c>
      <c r="E124">
        <v>7</v>
      </c>
      <c r="F124">
        <v>180.56</v>
      </c>
      <c r="G124" t="s">
        <v>14</v>
      </c>
    </row>
    <row r="125" spans="1:7">
      <c r="A125" t="s">
        <v>287</v>
      </c>
      <c r="B125" s="11">
        <v>45709</v>
      </c>
      <c r="C125" t="s">
        <v>8</v>
      </c>
      <c r="D125" t="s">
        <v>27</v>
      </c>
      <c r="E125">
        <v>7</v>
      </c>
      <c r="F125">
        <v>148.72999999999999</v>
      </c>
      <c r="G125" t="s">
        <v>10</v>
      </c>
    </row>
    <row r="126" spans="1:7">
      <c r="A126" t="s">
        <v>293</v>
      </c>
      <c r="B126" s="11">
        <v>45806</v>
      </c>
      <c r="C126" t="s">
        <v>12</v>
      </c>
      <c r="D126" t="s">
        <v>27</v>
      </c>
      <c r="E126">
        <v>8</v>
      </c>
      <c r="F126">
        <v>291.13</v>
      </c>
      <c r="G126" t="s">
        <v>10</v>
      </c>
    </row>
    <row r="127" spans="1:7">
      <c r="A127" t="s">
        <v>295</v>
      </c>
      <c r="B127" s="11">
        <v>45883</v>
      </c>
      <c r="C127" t="s">
        <v>12</v>
      </c>
      <c r="D127" t="s">
        <v>27</v>
      </c>
      <c r="E127">
        <v>8</v>
      </c>
      <c r="F127">
        <v>129.69</v>
      </c>
      <c r="G127" t="s">
        <v>10</v>
      </c>
    </row>
    <row r="128" spans="1:7">
      <c r="A128" t="s">
        <v>297</v>
      </c>
      <c r="B128" s="11">
        <v>46083</v>
      </c>
      <c r="C128" t="s">
        <v>8</v>
      </c>
      <c r="D128" t="s">
        <v>27</v>
      </c>
      <c r="E128">
        <v>1</v>
      </c>
      <c r="F128">
        <v>0</v>
      </c>
      <c r="G128" t="s">
        <v>14</v>
      </c>
    </row>
    <row r="129" spans="1:7">
      <c r="A129" t="s">
        <v>303</v>
      </c>
      <c r="B129" s="11">
        <v>46117</v>
      </c>
      <c r="C129" t="s">
        <v>8</v>
      </c>
      <c r="D129" t="s">
        <v>27</v>
      </c>
      <c r="E129">
        <v>3</v>
      </c>
      <c r="F129">
        <v>222.71</v>
      </c>
      <c r="G129" t="s">
        <v>10</v>
      </c>
    </row>
    <row r="130" spans="1:7">
      <c r="A130" t="s">
        <v>304</v>
      </c>
      <c r="B130" s="11">
        <v>73050</v>
      </c>
      <c r="C130" t="s">
        <v>12</v>
      </c>
      <c r="D130" t="s">
        <v>27</v>
      </c>
      <c r="E130">
        <v>6</v>
      </c>
      <c r="F130">
        <v>263.68</v>
      </c>
      <c r="G130" t="s">
        <v>10</v>
      </c>
    </row>
    <row r="131" spans="1:7">
      <c r="A131" t="s">
        <v>7</v>
      </c>
      <c r="B131" s="11">
        <v>46070</v>
      </c>
      <c r="C131" t="s">
        <v>8</v>
      </c>
      <c r="D131" t="s">
        <v>9</v>
      </c>
      <c r="E131">
        <v>2</v>
      </c>
      <c r="F131">
        <v>19.5</v>
      </c>
      <c r="G131" t="s">
        <v>10</v>
      </c>
    </row>
    <row r="132" spans="1:7">
      <c r="A132" t="s">
        <v>15</v>
      </c>
      <c r="B132" s="11">
        <v>46127</v>
      </c>
      <c r="C132" t="s">
        <v>8</v>
      </c>
      <c r="D132" t="s">
        <v>9</v>
      </c>
      <c r="E132">
        <v>8</v>
      </c>
      <c r="F132">
        <v>22.92</v>
      </c>
      <c r="G132" t="s">
        <v>16</v>
      </c>
    </row>
    <row r="133" spans="1:7">
      <c r="A133" t="s">
        <v>17</v>
      </c>
      <c r="B133" s="11">
        <v>45799</v>
      </c>
      <c r="C133" t="s">
        <v>12</v>
      </c>
      <c r="D133" t="s">
        <v>9</v>
      </c>
      <c r="E133">
        <v>5</v>
      </c>
      <c r="F133">
        <v>11.09</v>
      </c>
      <c r="G133" t="s">
        <v>10</v>
      </c>
    </row>
    <row r="134" spans="1:7">
      <c r="A134" t="s">
        <v>20</v>
      </c>
      <c r="B134" s="11">
        <v>45828</v>
      </c>
      <c r="C134" t="s">
        <v>12</v>
      </c>
      <c r="D134" t="s">
        <v>9</v>
      </c>
      <c r="E134">
        <v>6</v>
      </c>
      <c r="F134">
        <v>15.41</v>
      </c>
      <c r="G134" t="s">
        <v>10</v>
      </c>
    </row>
    <row r="135" spans="1:7">
      <c r="A135" t="s">
        <v>30</v>
      </c>
      <c r="B135" s="11">
        <v>45881</v>
      </c>
      <c r="C135" t="s">
        <v>12</v>
      </c>
      <c r="D135" t="s">
        <v>9</v>
      </c>
      <c r="E135">
        <v>4</v>
      </c>
      <c r="F135">
        <v>19.88</v>
      </c>
      <c r="G135" t="s">
        <v>323</v>
      </c>
    </row>
    <row r="136" spans="1:7">
      <c r="A136" t="s">
        <v>35</v>
      </c>
      <c r="B136" s="11">
        <v>46133</v>
      </c>
      <c r="C136" t="s">
        <v>12</v>
      </c>
      <c r="D136" t="s">
        <v>9</v>
      </c>
      <c r="E136">
        <v>4</v>
      </c>
      <c r="F136">
        <v>22.56</v>
      </c>
      <c r="G136" t="s">
        <v>33</v>
      </c>
    </row>
    <row r="137" spans="1:7">
      <c r="A137" t="s">
        <v>36</v>
      </c>
      <c r="B137" s="11">
        <v>45871</v>
      </c>
      <c r="C137" t="s">
        <v>8</v>
      </c>
      <c r="D137" t="s">
        <v>9</v>
      </c>
      <c r="E137">
        <v>3</v>
      </c>
      <c r="F137">
        <v>18.850000000000001</v>
      </c>
      <c r="G137" t="s">
        <v>10</v>
      </c>
    </row>
    <row r="138" spans="1:7">
      <c r="A138" t="s">
        <v>42</v>
      </c>
      <c r="B138" s="11">
        <v>46012</v>
      </c>
      <c r="C138" t="s">
        <v>12</v>
      </c>
      <c r="D138" t="s">
        <v>9</v>
      </c>
      <c r="E138">
        <v>30</v>
      </c>
      <c r="F138">
        <v>23.37</v>
      </c>
      <c r="G138" t="s">
        <v>33</v>
      </c>
    </row>
    <row r="139" spans="1:7">
      <c r="A139" t="s">
        <v>44</v>
      </c>
      <c r="B139" s="11">
        <v>45751</v>
      </c>
      <c r="C139" t="s">
        <v>8</v>
      </c>
      <c r="D139" t="s">
        <v>9</v>
      </c>
      <c r="E139">
        <v>4</v>
      </c>
      <c r="F139">
        <v>24.99</v>
      </c>
      <c r="G139" t="s">
        <v>10</v>
      </c>
    </row>
    <row r="140" spans="1:7">
      <c r="A140" t="s">
        <v>45</v>
      </c>
      <c r="B140" s="11">
        <v>46178</v>
      </c>
      <c r="C140" t="s">
        <v>8</v>
      </c>
      <c r="D140" t="s">
        <v>9</v>
      </c>
      <c r="E140">
        <v>2</v>
      </c>
      <c r="F140">
        <v>0</v>
      </c>
      <c r="G140" t="s">
        <v>10</v>
      </c>
    </row>
    <row r="141" spans="1:7">
      <c r="A141" t="s">
        <v>59</v>
      </c>
      <c r="B141" s="11">
        <v>45658</v>
      </c>
      <c r="C141" t="s">
        <v>12</v>
      </c>
      <c r="D141" t="s">
        <v>9</v>
      </c>
      <c r="E141">
        <v>3</v>
      </c>
      <c r="F141">
        <v>26.83</v>
      </c>
      <c r="G141" t="s">
        <v>10</v>
      </c>
    </row>
    <row r="142" spans="1:7">
      <c r="A142" t="s">
        <v>62</v>
      </c>
      <c r="B142" s="11">
        <v>45699</v>
      </c>
      <c r="C142" t="s">
        <v>8</v>
      </c>
      <c r="D142" t="s">
        <v>9</v>
      </c>
      <c r="E142">
        <v>2</v>
      </c>
      <c r="F142">
        <v>11.46</v>
      </c>
      <c r="G142" t="s">
        <v>14</v>
      </c>
    </row>
    <row r="143" spans="1:7">
      <c r="A143" t="s">
        <v>68</v>
      </c>
      <c r="B143" s="11">
        <v>45949</v>
      </c>
      <c r="C143" t="s">
        <v>8</v>
      </c>
      <c r="D143" t="s">
        <v>9</v>
      </c>
      <c r="E143">
        <v>7</v>
      </c>
      <c r="F143">
        <v>11.53</v>
      </c>
      <c r="G143" t="s">
        <v>14</v>
      </c>
    </row>
    <row r="144" spans="1:7">
      <c r="A144" t="s">
        <v>71</v>
      </c>
      <c r="B144" s="11">
        <v>45916</v>
      </c>
      <c r="C144" t="s">
        <v>8</v>
      </c>
      <c r="D144" t="s">
        <v>9</v>
      </c>
      <c r="E144">
        <v>5</v>
      </c>
      <c r="F144">
        <v>13.61</v>
      </c>
      <c r="G144" t="s">
        <v>16</v>
      </c>
    </row>
    <row r="145" spans="1:7">
      <c r="A145" t="s">
        <v>77</v>
      </c>
      <c r="B145" s="11">
        <v>45917</v>
      </c>
      <c r="C145" t="s">
        <v>12</v>
      </c>
      <c r="D145" t="s">
        <v>9</v>
      </c>
      <c r="E145">
        <v>0</v>
      </c>
      <c r="F145">
        <v>23.87</v>
      </c>
      <c r="G145" t="s">
        <v>10</v>
      </c>
    </row>
    <row r="146" spans="1:7">
      <c r="A146" t="s">
        <v>79</v>
      </c>
      <c r="B146" s="11">
        <v>45844</v>
      </c>
      <c r="C146" t="s">
        <v>12</v>
      </c>
      <c r="D146" t="s">
        <v>9</v>
      </c>
      <c r="E146">
        <v>4</v>
      </c>
      <c r="F146">
        <v>21.71</v>
      </c>
      <c r="G146" t="s">
        <v>16</v>
      </c>
    </row>
    <row r="147" spans="1:7">
      <c r="A147" t="s">
        <v>85</v>
      </c>
      <c r="B147" s="11">
        <v>46033</v>
      </c>
      <c r="C147" t="s">
        <v>8</v>
      </c>
      <c r="D147" t="s">
        <v>9</v>
      </c>
      <c r="E147">
        <v>7</v>
      </c>
      <c r="F147">
        <v>20</v>
      </c>
      <c r="G147" t="s">
        <v>23</v>
      </c>
    </row>
    <row r="148" spans="1:7">
      <c r="A148" t="s">
        <v>92</v>
      </c>
      <c r="B148" s="11">
        <v>46035</v>
      </c>
      <c r="C148" t="s">
        <v>8</v>
      </c>
      <c r="D148" t="s">
        <v>9</v>
      </c>
      <c r="E148">
        <v>4</v>
      </c>
      <c r="F148">
        <v>21.02</v>
      </c>
      <c r="G148" t="s">
        <v>23</v>
      </c>
    </row>
    <row r="149" spans="1:7">
      <c r="A149" t="s">
        <v>98</v>
      </c>
      <c r="B149" s="11">
        <v>45794</v>
      </c>
      <c r="C149" t="s">
        <v>12</v>
      </c>
      <c r="D149" t="s">
        <v>9</v>
      </c>
      <c r="E149">
        <v>4</v>
      </c>
      <c r="F149">
        <v>19.059999999999999</v>
      </c>
      <c r="G149" t="s">
        <v>10</v>
      </c>
    </row>
    <row r="150" spans="1:7">
      <c r="A150" t="s">
        <v>104</v>
      </c>
      <c r="B150" s="11">
        <v>46078</v>
      </c>
      <c r="C150" t="s">
        <v>12</v>
      </c>
      <c r="D150" t="s">
        <v>9</v>
      </c>
      <c r="E150">
        <v>8</v>
      </c>
      <c r="F150">
        <v>12.24</v>
      </c>
      <c r="G150" t="s">
        <v>23</v>
      </c>
    </row>
    <row r="151" spans="1:7">
      <c r="A151" t="s">
        <v>105</v>
      </c>
      <c r="B151" s="11">
        <v>45673</v>
      </c>
      <c r="C151" t="s">
        <v>12</v>
      </c>
      <c r="D151" t="s">
        <v>9</v>
      </c>
      <c r="E151">
        <v>8</v>
      </c>
      <c r="F151">
        <v>18.09</v>
      </c>
      <c r="G151" t="s">
        <v>33</v>
      </c>
    </row>
    <row r="152" spans="1:7">
      <c r="A152" t="s">
        <v>106</v>
      </c>
      <c r="B152" s="11">
        <v>45892</v>
      </c>
      <c r="C152" t="s">
        <v>8</v>
      </c>
      <c r="D152" t="s">
        <v>9</v>
      </c>
      <c r="E152">
        <v>8</v>
      </c>
      <c r="F152">
        <v>25.74</v>
      </c>
      <c r="G152" t="s">
        <v>10</v>
      </c>
    </row>
    <row r="153" spans="1:7">
      <c r="A153" t="s">
        <v>313</v>
      </c>
      <c r="B153" s="11">
        <v>46088</v>
      </c>
      <c r="C153" t="s">
        <v>12</v>
      </c>
      <c r="D153" t="s">
        <v>9</v>
      </c>
      <c r="E153">
        <v>4</v>
      </c>
      <c r="F153">
        <v>12.05</v>
      </c>
      <c r="G153" t="s">
        <v>16</v>
      </c>
    </row>
    <row r="154" spans="1:7">
      <c r="A154" t="s">
        <v>107</v>
      </c>
      <c r="B154" s="11">
        <v>45946</v>
      </c>
      <c r="C154" t="s">
        <v>12</v>
      </c>
      <c r="D154" t="s">
        <v>9</v>
      </c>
      <c r="E154">
        <v>4</v>
      </c>
      <c r="F154">
        <v>23.96</v>
      </c>
      <c r="G154" t="s">
        <v>10</v>
      </c>
    </row>
    <row r="155" spans="1:7">
      <c r="A155" t="s">
        <v>109</v>
      </c>
      <c r="B155" s="11">
        <v>45839</v>
      </c>
      <c r="C155" t="s">
        <v>8</v>
      </c>
      <c r="D155" t="s">
        <v>9</v>
      </c>
      <c r="E155">
        <v>8</v>
      </c>
      <c r="F155">
        <v>28.43</v>
      </c>
      <c r="G155" t="s">
        <v>51</v>
      </c>
    </row>
    <row r="156" spans="1:7">
      <c r="A156" t="s">
        <v>115</v>
      </c>
      <c r="B156" s="11">
        <v>46084</v>
      </c>
      <c r="C156" t="s">
        <v>8</v>
      </c>
      <c r="D156" t="s">
        <v>9</v>
      </c>
      <c r="E156">
        <v>1</v>
      </c>
      <c r="F156">
        <v>0</v>
      </c>
      <c r="G156" t="s">
        <v>10</v>
      </c>
    </row>
    <row r="157" spans="1:7">
      <c r="A157" t="s">
        <v>116</v>
      </c>
      <c r="B157" s="11">
        <v>45953</v>
      </c>
      <c r="C157" t="s">
        <v>8</v>
      </c>
      <c r="D157" t="s">
        <v>9</v>
      </c>
      <c r="E157">
        <v>6</v>
      </c>
      <c r="F157">
        <v>25.06</v>
      </c>
      <c r="G157" t="s">
        <v>51</v>
      </c>
    </row>
    <row r="158" spans="1:7">
      <c r="A158" t="s">
        <v>121</v>
      </c>
      <c r="B158" s="11">
        <v>45983</v>
      </c>
      <c r="C158" t="s">
        <v>8</v>
      </c>
      <c r="D158" t="s">
        <v>9</v>
      </c>
      <c r="E158">
        <v>8</v>
      </c>
      <c r="F158">
        <v>20.79</v>
      </c>
      <c r="G158" t="s">
        <v>10</v>
      </c>
    </row>
    <row r="159" spans="1:7">
      <c r="A159" t="s">
        <v>122</v>
      </c>
      <c r="B159" s="11">
        <v>45802</v>
      </c>
      <c r="C159" t="s">
        <v>8</v>
      </c>
      <c r="D159" t="s">
        <v>9</v>
      </c>
      <c r="E159">
        <v>1</v>
      </c>
      <c r="F159">
        <v>21.37</v>
      </c>
      <c r="G159" t="s">
        <v>10</v>
      </c>
    </row>
    <row r="160" spans="1:7">
      <c r="A160" t="s">
        <v>125</v>
      </c>
      <c r="B160" s="11">
        <v>45892</v>
      </c>
      <c r="C160" t="s">
        <v>12</v>
      </c>
      <c r="D160" t="s">
        <v>9</v>
      </c>
      <c r="E160">
        <v>1</v>
      </c>
      <c r="F160">
        <v>10.73</v>
      </c>
      <c r="G160" t="s">
        <v>10</v>
      </c>
    </row>
    <row r="161" spans="1:7">
      <c r="A161" t="s">
        <v>129</v>
      </c>
      <c r="B161" s="11">
        <v>45678</v>
      </c>
      <c r="C161" t="s">
        <v>8</v>
      </c>
      <c r="D161" t="s">
        <v>9</v>
      </c>
      <c r="E161">
        <v>6</v>
      </c>
      <c r="F161">
        <v>28.43</v>
      </c>
      <c r="G161" t="s">
        <v>10</v>
      </c>
    </row>
    <row r="162" spans="1:7">
      <c r="A162" t="s">
        <v>134</v>
      </c>
      <c r="B162" s="11">
        <v>45842</v>
      </c>
      <c r="C162" t="s">
        <v>8</v>
      </c>
      <c r="D162" t="s">
        <v>9</v>
      </c>
      <c r="E162">
        <v>6</v>
      </c>
      <c r="F162">
        <v>15.84</v>
      </c>
      <c r="G162" t="s">
        <v>14</v>
      </c>
    </row>
    <row r="163" spans="1:7">
      <c r="A163" t="s">
        <v>141</v>
      </c>
      <c r="B163" s="11">
        <v>46007</v>
      </c>
      <c r="C163" t="s">
        <v>8</v>
      </c>
      <c r="D163" t="s">
        <v>9</v>
      </c>
      <c r="E163">
        <v>6</v>
      </c>
      <c r="F163">
        <v>26.64</v>
      </c>
      <c r="G163" t="s">
        <v>33</v>
      </c>
    </row>
    <row r="164" spans="1:7">
      <c r="A164" t="s">
        <v>143</v>
      </c>
      <c r="B164" s="11">
        <v>45951</v>
      </c>
      <c r="C164" t="s">
        <v>12</v>
      </c>
      <c r="D164" t="s">
        <v>9</v>
      </c>
      <c r="E164">
        <v>5</v>
      </c>
      <c r="F164">
        <v>27.9</v>
      </c>
      <c r="G164" t="s">
        <v>51</v>
      </c>
    </row>
    <row r="165" spans="1:7">
      <c r="A165" t="s">
        <v>147</v>
      </c>
      <c r="B165" s="11">
        <v>45669</v>
      </c>
      <c r="C165" t="s">
        <v>12</v>
      </c>
      <c r="D165" t="s">
        <v>9</v>
      </c>
      <c r="E165">
        <v>7</v>
      </c>
      <c r="F165">
        <v>16.27</v>
      </c>
      <c r="G165" t="s">
        <v>10</v>
      </c>
    </row>
    <row r="166" spans="1:7">
      <c r="A166" t="s">
        <v>149</v>
      </c>
      <c r="B166" s="11">
        <v>46062</v>
      </c>
      <c r="C166" t="s">
        <v>12</v>
      </c>
      <c r="D166" t="s">
        <v>9</v>
      </c>
      <c r="E166">
        <v>6</v>
      </c>
      <c r="F166">
        <v>18.27</v>
      </c>
      <c r="G166" t="s">
        <v>23</v>
      </c>
    </row>
    <row r="167" spans="1:7">
      <c r="A167" t="s">
        <v>152</v>
      </c>
      <c r="B167" s="11">
        <v>46121</v>
      </c>
      <c r="C167" t="s">
        <v>12</v>
      </c>
      <c r="D167" t="s">
        <v>9</v>
      </c>
      <c r="E167">
        <v>7</v>
      </c>
      <c r="F167">
        <v>22.38</v>
      </c>
      <c r="G167" t="s">
        <v>10</v>
      </c>
    </row>
    <row r="168" spans="1:7">
      <c r="A168" t="s">
        <v>153</v>
      </c>
      <c r="B168" s="11">
        <v>45885</v>
      </c>
      <c r="C168" t="s">
        <v>8</v>
      </c>
      <c r="D168" t="s">
        <v>9</v>
      </c>
      <c r="E168">
        <v>2</v>
      </c>
      <c r="F168">
        <v>16.920000000000002</v>
      </c>
      <c r="G168" t="s">
        <v>323</v>
      </c>
    </row>
    <row r="169" spans="1:7">
      <c r="A169" t="s">
        <v>157</v>
      </c>
      <c r="B169" s="11">
        <v>45958</v>
      </c>
      <c r="C169" t="s">
        <v>8</v>
      </c>
      <c r="D169" t="s">
        <v>9</v>
      </c>
      <c r="E169">
        <v>6</v>
      </c>
      <c r="F169">
        <v>20.92</v>
      </c>
      <c r="G169" t="s">
        <v>10</v>
      </c>
    </row>
    <row r="170" spans="1:7">
      <c r="A170" t="s">
        <v>159</v>
      </c>
      <c r="B170" s="11">
        <v>45969</v>
      </c>
      <c r="C170" t="s">
        <v>12</v>
      </c>
      <c r="D170" t="s">
        <v>9</v>
      </c>
      <c r="E170">
        <v>7</v>
      </c>
      <c r="F170">
        <v>14.78</v>
      </c>
      <c r="G170" t="s">
        <v>10</v>
      </c>
    </row>
    <row r="171" spans="1:7">
      <c r="A171" t="s">
        <v>166</v>
      </c>
      <c r="B171" s="11">
        <v>46198</v>
      </c>
      <c r="C171" t="s">
        <v>12</v>
      </c>
      <c r="D171" t="s">
        <v>9</v>
      </c>
      <c r="E171">
        <v>1</v>
      </c>
      <c r="F171">
        <v>18.18</v>
      </c>
      <c r="G171" t="s">
        <v>14</v>
      </c>
    </row>
    <row r="172" spans="1:7">
      <c r="A172" t="s">
        <v>175</v>
      </c>
      <c r="B172" s="11">
        <v>45830</v>
      </c>
      <c r="C172" t="s">
        <v>12</v>
      </c>
      <c r="D172" t="s">
        <v>9</v>
      </c>
      <c r="E172">
        <v>0</v>
      </c>
      <c r="F172">
        <v>15.51</v>
      </c>
      <c r="G172" t="s">
        <v>10</v>
      </c>
    </row>
    <row r="173" spans="1:7">
      <c r="A173" t="s">
        <v>177</v>
      </c>
      <c r="B173" s="11">
        <v>46157</v>
      </c>
      <c r="C173" t="s">
        <v>8</v>
      </c>
      <c r="D173" t="s">
        <v>9</v>
      </c>
      <c r="E173">
        <v>2</v>
      </c>
      <c r="F173">
        <v>17.45</v>
      </c>
      <c r="G173" t="s">
        <v>323</v>
      </c>
    </row>
    <row r="174" spans="1:7">
      <c r="A174" t="s">
        <v>178</v>
      </c>
      <c r="B174" s="11">
        <v>46214</v>
      </c>
      <c r="C174" t="s">
        <v>8</v>
      </c>
      <c r="D174" t="s">
        <v>9</v>
      </c>
      <c r="E174">
        <v>8</v>
      </c>
      <c r="F174">
        <v>11.15</v>
      </c>
      <c r="G174" t="s">
        <v>51</v>
      </c>
    </row>
    <row r="175" spans="1:7">
      <c r="A175" t="s">
        <v>179</v>
      </c>
      <c r="B175" s="11">
        <v>45750</v>
      </c>
      <c r="C175" t="s">
        <v>8</v>
      </c>
      <c r="D175" t="s">
        <v>9</v>
      </c>
      <c r="E175">
        <v>0</v>
      </c>
      <c r="F175">
        <v>16.510000000000002</v>
      </c>
      <c r="G175" t="s">
        <v>14</v>
      </c>
    </row>
    <row r="176" spans="1:7">
      <c r="A176" t="s">
        <v>182</v>
      </c>
      <c r="B176" s="11">
        <v>45867</v>
      </c>
      <c r="C176" t="s">
        <v>12</v>
      </c>
      <c r="D176" t="s">
        <v>9</v>
      </c>
      <c r="E176">
        <v>2</v>
      </c>
      <c r="F176">
        <v>26.75</v>
      </c>
      <c r="G176" t="s">
        <v>14</v>
      </c>
    </row>
    <row r="177" spans="1:7">
      <c r="A177" t="s">
        <v>186</v>
      </c>
      <c r="B177" s="11">
        <v>46207</v>
      </c>
      <c r="C177" t="s">
        <v>12</v>
      </c>
      <c r="D177" t="s">
        <v>9</v>
      </c>
      <c r="E177">
        <v>8</v>
      </c>
      <c r="F177">
        <v>0</v>
      </c>
      <c r="G177" t="s">
        <v>16</v>
      </c>
    </row>
    <row r="178" spans="1:7">
      <c r="A178" t="s">
        <v>188</v>
      </c>
      <c r="B178" s="11">
        <v>45876</v>
      </c>
      <c r="C178" t="s">
        <v>8</v>
      </c>
      <c r="D178" t="s">
        <v>9</v>
      </c>
      <c r="E178">
        <v>2</v>
      </c>
      <c r="F178">
        <v>26.91</v>
      </c>
      <c r="G178" t="s">
        <v>14</v>
      </c>
    </row>
    <row r="179" spans="1:7">
      <c r="A179" t="s">
        <v>196</v>
      </c>
      <c r="B179" s="11">
        <v>46026</v>
      </c>
      <c r="C179" t="s">
        <v>8</v>
      </c>
      <c r="D179" t="s">
        <v>9</v>
      </c>
      <c r="E179">
        <v>7</v>
      </c>
      <c r="F179">
        <v>14.03</v>
      </c>
      <c r="G179" t="s">
        <v>10</v>
      </c>
    </row>
    <row r="180" spans="1:7">
      <c r="A180" t="s">
        <v>211</v>
      </c>
      <c r="B180" t="s">
        <v>324</v>
      </c>
      <c r="C180" t="s">
        <v>12</v>
      </c>
      <c r="D180" t="s">
        <v>9</v>
      </c>
      <c r="E180">
        <v>6</v>
      </c>
      <c r="F180">
        <v>15.12</v>
      </c>
      <c r="G180" t="s">
        <v>14</v>
      </c>
    </row>
    <row r="181" spans="1:7">
      <c r="A181" t="s">
        <v>212</v>
      </c>
      <c r="B181" s="11">
        <v>45980</v>
      </c>
      <c r="C181" t="s">
        <v>12</v>
      </c>
      <c r="D181" t="s">
        <v>9</v>
      </c>
      <c r="E181">
        <v>5</v>
      </c>
      <c r="F181">
        <v>13.02</v>
      </c>
      <c r="G181" t="s">
        <v>10</v>
      </c>
    </row>
    <row r="182" spans="1:7">
      <c r="A182" t="s">
        <v>216</v>
      </c>
      <c r="B182" s="11">
        <v>46035</v>
      </c>
      <c r="C182" t="s">
        <v>12</v>
      </c>
      <c r="D182" t="s">
        <v>9</v>
      </c>
      <c r="E182">
        <v>2</v>
      </c>
      <c r="F182">
        <v>25.57</v>
      </c>
      <c r="G182" t="s">
        <v>10</v>
      </c>
    </row>
    <row r="183" spans="1:7">
      <c r="A183" t="s">
        <v>222</v>
      </c>
      <c r="B183" s="11">
        <v>45947</v>
      </c>
      <c r="C183" t="s">
        <v>8</v>
      </c>
      <c r="D183" t="s">
        <v>9</v>
      </c>
      <c r="E183">
        <v>3</v>
      </c>
      <c r="F183">
        <v>14.47</v>
      </c>
      <c r="G183" t="s">
        <v>33</v>
      </c>
    </row>
    <row r="184" spans="1:7">
      <c r="A184" t="s">
        <v>223</v>
      </c>
      <c r="B184" s="11">
        <v>46170</v>
      </c>
      <c r="C184" t="s">
        <v>12</v>
      </c>
      <c r="D184" t="s">
        <v>9</v>
      </c>
      <c r="E184">
        <v>4</v>
      </c>
      <c r="F184">
        <v>28.19</v>
      </c>
      <c r="G184" t="s">
        <v>10</v>
      </c>
    </row>
    <row r="185" spans="1:7">
      <c r="A185" t="s">
        <v>228</v>
      </c>
      <c r="B185" s="11">
        <v>45851</v>
      </c>
      <c r="C185" t="s">
        <v>12</v>
      </c>
      <c r="D185" t="s">
        <v>9</v>
      </c>
      <c r="E185">
        <v>5</v>
      </c>
      <c r="F185">
        <v>12.32</v>
      </c>
      <c r="G185" t="s">
        <v>14</v>
      </c>
    </row>
    <row r="186" spans="1:7">
      <c r="A186" t="s">
        <v>229</v>
      </c>
      <c r="B186" s="11">
        <v>45715</v>
      </c>
      <c r="C186" t="s">
        <v>12</v>
      </c>
      <c r="D186" t="s">
        <v>9</v>
      </c>
      <c r="E186">
        <v>1</v>
      </c>
      <c r="F186">
        <v>20.85</v>
      </c>
      <c r="G186" t="s">
        <v>323</v>
      </c>
    </row>
    <row r="187" spans="1:7">
      <c r="A187" t="s">
        <v>239</v>
      </c>
      <c r="B187" s="11">
        <v>45824</v>
      </c>
      <c r="C187" t="s">
        <v>8</v>
      </c>
      <c r="D187" t="s">
        <v>9</v>
      </c>
      <c r="E187">
        <v>3</v>
      </c>
      <c r="F187">
        <v>20.86</v>
      </c>
      <c r="G187" t="s">
        <v>16</v>
      </c>
    </row>
    <row r="188" spans="1:7">
      <c r="A188" t="s">
        <v>317</v>
      </c>
      <c r="B188" s="11">
        <v>45795</v>
      </c>
      <c r="C188" t="s">
        <v>12</v>
      </c>
      <c r="D188" t="s">
        <v>9</v>
      </c>
      <c r="E188">
        <v>8</v>
      </c>
      <c r="F188">
        <v>12.09</v>
      </c>
      <c r="G188" t="s">
        <v>33</v>
      </c>
    </row>
    <row r="189" spans="1:7">
      <c r="A189" t="s">
        <v>318</v>
      </c>
      <c r="B189" s="11">
        <v>46082</v>
      </c>
      <c r="C189" t="s">
        <v>8</v>
      </c>
      <c r="D189" t="s">
        <v>9</v>
      </c>
      <c r="E189">
        <v>6</v>
      </c>
      <c r="F189">
        <v>22.02</v>
      </c>
      <c r="G189" t="s">
        <v>23</v>
      </c>
    </row>
    <row r="190" spans="1:7">
      <c r="A190" t="s">
        <v>245</v>
      </c>
      <c r="B190" s="11">
        <v>45802</v>
      </c>
      <c r="C190" t="s">
        <v>8</v>
      </c>
      <c r="D190" t="s">
        <v>9</v>
      </c>
      <c r="E190">
        <v>2</v>
      </c>
      <c r="F190">
        <v>16.940000000000001</v>
      </c>
      <c r="G190" t="s">
        <v>323</v>
      </c>
    </row>
    <row r="191" spans="1:7">
      <c r="A191" t="s">
        <v>249</v>
      </c>
      <c r="B191" s="11">
        <v>45961</v>
      </c>
      <c r="C191" t="s">
        <v>12</v>
      </c>
      <c r="D191" t="s">
        <v>9</v>
      </c>
      <c r="E191">
        <v>5</v>
      </c>
      <c r="F191">
        <v>22.34</v>
      </c>
      <c r="G191" t="s">
        <v>16</v>
      </c>
    </row>
    <row r="192" spans="1:7">
      <c r="A192" t="s">
        <v>250</v>
      </c>
      <c r="B192" s="11">
        <v>46219</v>
      </c>
      <c r="C192" t="s">
        <v>12</v>
      </c>
      <c r="D192" t="s">
        <v>9</v>
      </c>
      <c r="E192">
        <v>2</v>
      </c>
      <c r="F192">
        <v>13.02</v>
      </c>
      <c r="G192" t="s">
        <v>10</v>
      </c>
    </row>
    <row r="193" spans="1:7">
      <c r="A193" t="s">
        <v>251</v>
      </c>
      <c r="B193" s="11">
        <v>46061</v>
      </c>
      <c r="C193" t="s">
        <v>12</v>
      </c>
      <c r="D193" t="s">
        <v>9</v>
      </c>
      <c r="E193">
        <v>8</v>
      </c>
      <c r="F193">
        <v>23.29</v>
      </c>
      <c r="G193" t="s">
        <v>51</v>
      </c>
    </row>
    <row r="194" spans="1:7">
      <c r="A194" t="s">
        <v>252</v>
      </c>
      <c r="B194" s="11">
        <v>45680</v>
      </c>
      <c r="C194" t="s">
        <v>8</v>
      </c>
      <c r="D194" t="s">
        <v>9</v>
      </c>
      <c r="E194">
        <v>3</v>
      </c>
      <c r="F194">
        <v>24.22</v>
      </c>
      <c r="G194" t="s">
        <v>10</v>
      </c>
    </row>
    <row r="195" spans="1:7">
      <c r="A195" t="s">
        <v>253</v>
      </c>
      <c r="B195" s="11">
        <v>45889</v>
      </c>
      <c r="C195" t="s">
        <v>8</v>
      </c>
      <c r="D195" t="s">
        <v>9</v>
      </c>
      <c r="E195">
        <v>8</v>
      </c>
      <c r="F195">
        <v>21.72</v>
      </c>
      <c r="G195" t="s">
        <v>14</v>
      </c>
    </row>
    <row r="196" spans="1:7">
      <c r="A196" t="s">
        <v>254</v>
      </c>
      <c r="B196" s="11">
        <v>45934</v>
      </c>
      <c r="C196" t="s">
        <v>8</v>
      </c>
      <c r="D196" t="s">
        <v>9</v>
      </c>
      <c r="E196">
        <v>1</v>
      </c>
      <c r="F196">
        <v>12.01</v>
      </c>
      <c r="G196" t="s">
        <v>10</v>
      </c>
    </row>
    <row r="197" spans="1:7">
      <c r="A197" t="s">
        <v>257</v>
      </c>
      <c r="B197" s="11">
        <v>45762</v>
      </c>
      <c r="C197" t="s">
        <v>12</v>
      </c>
      <c r="D197" t="s">
        <v>9</v>
      </c>
      <c r="E197">
        <v>6</v>
      </c>
      <c r="F197">
        <v>13.68</v>
      </c>
      <c r="G197" t="s">
        <v>10</v>
      </c>
    </row>
    <row r="198" spans="1:7">
      <c r="A198" t="s">
        <v>258</v>
      </c>
      <c r="B198" s="11">
        <v>46208</v>
      </c>
      <c r="C198" t="s">
        <v>12</v>
      </c>
      <c r="D198" t="s">
        <v>9</v>
      </c>
      <c r="E198">
        <v>3</v>
      </c>
      <c r="F198">
        <v>0</v>
      </c>
      <c r="G198" t="s">
        <v>14</v>
      </c>
    </row>
    <row r="199" spans="1:7">
      <c r="A199" t="s">
        <v>262</v>
      </c>
      <c r="B199" s="11">
        <v>45935</v>
      </c>
      <c r="C199" t="s">
        <v>8</v>
      </c>
      <c r="D199" t="s">
        <v>9</v>
      </c>
      <c r="E199">
        <v>2</v>
      </c>
      <c r="F199">
        <v>27.38</v>
      </c>
      <c r="G199" t="s">
        <v>14</v>
      </c>
    </row>
    <row r="200" spans="1:7">
      <c r="A200" t="s">
        <v>265</v>
      </c>
      <c r="B200" s="11">
        <v>45976</v>
      </c>
      <c r="C200" t="s">
        <v>8</v>
      </c>
      <c r="D200" t="s">
        <v>9</v>
      </c>
      <c r="E200">
        <v>6</v>
      </c>
      <c r="F200">
        <v>26.62</v>
      </c>
      <c r="G200" t="s">
        <v>51</v>
      </c>
    </row>
    <row r="201" spans="1:7">
      <c r="A201" t="s">
        <v>274</v>
      </c>
      <c r="B201" s="11">
        <v>45694</v>
      </c>
      <c r="C201" t="s">
        <v>12</v>
      </c>
      <c r="D201" t="s">
        <v>9</v>
      </c>
      <c r="E201">
        <v>2</v>
      </c>
      <c r="F201">
        <v>24.06</v>
      </c>
      <c r="G201" t="s">
        <v>10</v>
      </c>
    </row>
    <row r="202" spans="1:7">
      <c r="A202" t="s">
        <v>281</v>
      </c>
      <c r="B202" s="11">
        <v>45938</v>
      </c>
      <c r="C202" t="s">
        <v>12</v>
      </c>
      <c r="D202" t="s">
        <v>9</v>
      </c>
      <c r="E202">
        <v>3</v>
      </c>
      <c r="F202">
        <v>26.08</v>
      </c>
      <c r="G202" t="s">
        <v>10</v>
      </c>
    </row>
    <row r="203" spans="1:7">
      <c r="A203" t="s">
        <v>288</v>
      </c>
      <c r="B203" s="11">
        <v>45937</v>
      </c>
      <c r="C203" t="s">
        <v>12</v>
      </c>
      <c r="D203" t="s">
        <v>9</v>
      </c>
      <c r="E203">
        <v>8</v>
      </c>
      <c r="F203">
        <v>16.79</v>
      </c>
      <c r="G203" t="s">
        <v>33</v>
      </c>
    </row>
    <row r="204" spans="1:7">
      <c r="A204" t="s">
        <v>321</v>
      </c>
      <c r="B204" s="11">
        <v>46045</v>
      </c>
      <c r="C204" t="s">
        <v>8</v>
      </c>
      <c r="D204" t="s">
        <v>9</v>
      </c>
      <c r="E204">
        <v>5</v>
      </c>
      <c r="F204">
        <v>17.73</v>
      </c>
      <c r="G204" t="s">
        <v>51</v>
      </c>
    </row>
    <row r="205" spans="1:7">
      <c r="A205" t="s">
        <v>300</v>
      </c>
      <c r="B205" s="11">
        <v>46232</v>
      </c>
      <c r="C205" t="s">
        <v>8</v>
      </c>
      <c r="D205" t="s">
        <v>9</v>
      </c>
      <c r="E205">
        <v>5</v>
      </c>
      <c r="F205">
        <v>13.24</v>
      </c>
      <c r="G205" t="s">
        <v>14</v>
      </c>
    </row>
    <row r="206" spans="1:7">
      <c r="A206" t="s">
        <v>301</v>
      </c>
      <c r="B206" s="11">
        <v>46205</v>
      </c>
      <c r="C206" t="s">
        <v>12</v>
      </c>
      <c r="D206" t="s">
        <v>9</v>
      </c>
      <c r="E206">
        <v>8</v>
      </c>
      <c r="F206">
        <v>-1</v>
      </c>
      <c r="G206" t="s">
        <v>16</v>
      </c>
    </row>
    <row r="207" spans="1:7">
      <c r="A207" t="s">
        <v>306</v>
      </c>
      <c r="B207" s="11">
        <v>45726</v>
      </c>
      <c r="C207" t="s">
        <v>12</v>
      </c>
      <c r="D207" t="s">
        <v>9</v>
      </c>
      <c r="E207">
        <v>1</v>
      </c>
      <c r="F207">
        <v>14.85</v>
      </c>
      <c r="G207" t="s">
        <v>323</v>
      </c>
    </row>
    <row r="208" spans="1:7">
      <c r="A208" t="s">
        <v>307</v>
      </c>
      <c r="B208" s="11">
        <v>45907</v>
      </c>
      <c r="C208" t="s">
        <v>8</v>
      </c>
      <c r="D208" t="s">
        <v>9</v>
      </c>
      <c r="E208">
        <v>6</v>
      </c>
      <c r="F208">
        <v>13.93</v>
      </c>
      <c r="G208" t="s">
        <v>23</v>
      </c>
    </row>
    <row r="209" spans="1:7">
      <c r="A209" t="s">
        <v>37</v>
      </c>
      <c r="B209" s="11">
        <v>45950</v>
      </c>
      <c r="C209" t="s">
        <v>8</v>
      </c>
      <c r="D209" t="s">
        <v>38</v>
      </c>
      <c r="E209">
        <v>5</v>
      </c>
      <c r="F209">
        <v>55.83</v>
      </c>
      <c r="G209" t="s">
        <v>10</v>
      </c>
    </row>
    <row r="210" spans="1:7">
      <c r="A210" t="s">
        <v>47</v>
      </c>
      <c r="B210" s="11">
        <v>45864</v>
      </c>
      <c r="C210" t="s">
        <v>8</v>
      </c>
      <c r="D210" t="s">
        <v>38</v>
      </c>
      <c r="E210">
        <v>4</v>
      </c>
      <c r="F210">
        <v>134.88999999999999</v>
      </c>
      <c r="G210" t="s">
        <v>33</v>
      </c>
    </row>
    <row r="211" spans="1:7">
      <c r="A211" t="s">
        <v>58</v>
      </c>
      <c r="B211" s="11">
        <v>45799</v>
      </c>
      <c r="C211" t="s">
        <v>12</v>
      </c>
      <c r="D211" t="s">
        <v>38</v>
      </c>
      <c r="E211">
        <v>8</v>
      </c>
      <c r="F211">
        <v>128.55000000000001</v>
      </c>
      <c r="G211" t="s">
        <v>16</v>
      </c>
    </row>
    <row r="212" spans="1:7">
      <c r="A212" t="s">
        <v>69</v>
      </c>
      <c r="B212" s="11">
        <v>45663</v>
      </c>
      <c r="C212" t="s">
        <v>8</v>
      </c>
      <c r="D212" t="s">
        <v>38</v>
      </c>
      <c r="E212">
        <v>5</v>
      </c>
      <c r="F212">
        <v>118.93</v>
      </c>
      <c r="G212" t="s">
        <v>23</v>
      </c>
    </row>
    <row r="213" spans="1:7">
      <c r="A213" t="s">
        <v>74</v>
      </c>
      <c r="B213" s="11">
        <v>46194</v>
      </c>
      <c r="C213" t="s">
        <v>12</v>
      </c>
      <c r="D213" t="s">
        <v>38</v>
      </c>
      <c r="E213">
        <v>3</v>
      </c>
      <c r="F213">
        <v>53.41</v>
      </c>
      <c r="G213" t="s">
        <v>51</v>
      </c>
    </row>
    <row r="214" spans="1:7">
      <c r="A214" t="s">
        <v>76</v>
      </c>
      <c r="B214" s="11">
        <v>45903</v>
      </c>
      <c r="C214" t="s">
        <v>8</v>
      </c>
      <c r="D214" t="s">
        <v>38</v>
      </c>
      <c r="E214">
        <v>7</v>
      </c>
      <c r="F214">
        <v>54.61</v>
      </c>
      <c r="G214" t="s">
        <v>10</v>
      </c>
    </row>
    <row r="215" spans="1:7">
      <c r="A215" t="s">
        <v>86</v>
      </c>
      <c r="B215" s="11">
        <v>46061</v>
      </c>
      <c r="C215" t="s">
        <v>8</v>
      </c>
      <c r="D215" t="s">
        <v>38</v>
      </c>
      <c r="E215">
        <v>3</v>
      </c>
      <c r="F215">
        <v>128.13999999999999</v>
      </c>
      <c r="G215" t="s">
        <v>10</v>
      </c>
    </row>
    <row r="216" spans="1:7">
      <c r="A216" t="s">
        <v>108</v>
      </c>
      <c r="B216" s="11">
        <v>45740</v>
      </c>
      <c r="C216" t="s">
        <v>8</v>
      </c>
      <c r="D216" t="s">
        <v>38</v>
      </c>
      <c r="E216">
        <v>1</v>
      </c>
      <c r="F216">
        <v>60.98</v>
      </c>
      <c r="G216" t="s">
        <v>10</v>
      </c>
    </row>
    <row r="217" spans="1:7">
      <c r="A217" t="s">
        <v>110</v>
      </c>
      <c r="B217" s="11">
        <v>45973</v>
      </c>
      <c r="C217" t="s">
        <v>12</v>
      </c>
      <c r="D217" t="s">
        <v>38</v>
      </c>
      <c r="E217">
        <v>5</v>
      </c>
      <c r="F217">
        <v>95.46</v>
      </c>
      <c r="G217" t="s">
        <v>10</v>
      </c>
    </row>
    <row r="218" spans="1:7">
      <c r="A218" t="s">
        <v>128</v>
      </c>
      <c r="B218" s="11">
        <v>46046</v>
      </c>
      <c r="C218" t="s">
        <v>12</v>
      </c>
      <c r="D218" t="s">
        <v>38</v>
      </c>
      <c r="E218">
        <v>4</v>
      </c>
      <c r="F218">
        <v>126.55</v>
      </c>
      <c r="G218" t="s">
        <v>323</v>
      </c>
    </row>
    <row r="219" spans="1:7">
      <c r="A219" t="s">
        <v>132</v>
      </c>
      <c r="B219" s="11">
        <v>45812</v>
      </c>
      <c r="C219" t="s">
        <v>12</v>
      </c>
      <c r="D219" t="s">
        <v>38</v>
      </c>
      <c r="E219">
        <v>0</v>
      </c>
      <c r="F219">
        <v>113.25</v>
      </c>
      <c r="G219" t="s">
        <v>10</v>
      </c>
    </row>
    <row r="220" spans="1:7">
      <c r="A220" t="s">
        <v>133</v>
      </c>
      <c r="B220" s="11">
        <v>45704</v>
      </c>
      <c r="C220" t="s">
        <v>12</v>
      </c>
      <c r="D220" t="s">
        <v>38</v>
      </c>
      <c r="E220">
        <v>4</v>
      </c>
      <c r="F220">
        <v>70.97</v>
      </c>
      <c r="G220" t="s">
        <v>23</v>
      </c>
    </row>
    <row r="221" spans="1:7">
      <c r="A221" t="s">
        <v>314</v>
      </c>
      <c r="B221" s="11">
        <v>45662</v>
      </c>
      <c r="C221" t="s">
        <v>12</v>
      </c>
      <c r="D221" t="s">
        <v>38</v>
      </c>
      <c r="E221">
        <v>3</v>
      </c>
      <c r="F221">
        <v>131.13999999999999</v>
      </c>
      <c r="G221" t="s">
        <v>33</v>
      </c>
    </row>
    <row r="222" spans="1:7">
      <c r="A222" t="s">
        <v>164</v>
      </c>
      <c r="B222" s="11">
        <v>45680</v>
      </c>
      <c r="C222" t="s">
        <v>12</v>
      </c>
      <c r="D222" t="s">
        <v>38</v>
      </c>
      <c r="E222">
        <v>3</v>
      </c>
      <c r="F222">
        <v>118.11</v>
      </c>
      <c r="G222" t="s">
        <v>10</v>
      </c>
    </row>
    <row r="223" spans="1:7">
      <c r="A223" t="s">
        <v>168</v>
      </c>
      <c r="B223" s="11">
        <v>45781</v>
      </c>
      <c r="C223" t="s">
        <v>8</v>
      </c>
      <c r="D223" t="s">
        <v>38</v>
      </c>
      <c r="E223">
        <v>5</v>
      </c>
      <c r="F223">
        <v>73.55</v>
      </c>
      <c r="G223" t="s">
        <v>51</v>
      </c>
    </row>
    <row r="224" spans="1:7">
      <c r="A224" t="s">
        <v>173</v>
      </c>
      <c r="B224" s="11">
        <v>45826</v>
      </c>
      <c r="C224" t="s">
        <v>12</v>
      </c>
      <c r="D224" t="s">
        <v>38</v>
      </c>
      <c r="E224">
        <v>5</v>
      </c>
      <c r="F224">
        <v>99.46</v>
      </c>
      <c r="G224" t="s">
        <v>16</v>
      </c>
    </row>
    <row r="225" spans="1:7">
      <c r="A225" t="s">
        <v>174</v>
      </c>
      <c r="B225" s="11">
        <v>46222</v>
      </c>
      <c r="C225" t="s">
        <v>8</v>
      </c>
      <c r="D225" t="s">
        <v>38</v>
      </c>
      <c r="E225">
        <v>6</v>
      </c>
      <c r="F225">
        <v>0</v>
      </c>
      <c r="G225" t="s">
        <v>10</v>
      </c>
    </row>
    <row r="226" spans="1:7">
      <c r="A226" t="s">
        <v>176</v>
      </c>
      <c r="B226" s="11">
        <v>45748</v>
      </c>
      <c r="C226" t="s">
        <v>12</v>
      </c>
      <c r="D226" t="s">
        <v>38</v>
      </c>
      <c r="E226">
        <v>8</v>
      </c>
      <c r="F226">
        <v>120.06</v>
      </c>
      <c r="G226" t="s">
        <v>23</v>
      </c>
    </row>
    <row r="227" spans="1:7">
      <c r="A227" t="s">
        <v>189</v>
      </c>
      <c r="B227" s="11">
        <v>46163</v>
      </c>
      <c r="C227" t="s">
        <v>12</v>
      </c>
      <c r="D227" t="s">
        <v>38</v>
      </c>
      <c r="E227">
        <v>1</v>
      </c>
      <c r="F227">
        <v>68.760000000000005</v>
      </c>
      <c r="G227" t="s">
        <v>10</v>
      </c>
    </row>
    <row r="228" spans="1:7">
      <c r="A228" t="s">
        <v>191</v>
      </c>
      <c r="B228" s="11">
        <v>45785</v>
      </c>
      <c r="C228" t="s">
        <v>8</v>
      </c>
      <c r="D228" t="s">
        <v>38</v>
      </c>
      <c r="E228">
        <v>1</v>
      </c>
      <c r="F228">
        <v>117.2</v>
      </c>
      <c r="G228" t="s">
        <v>23</v>
      </c>
    </row>
    <row r="229" spans="1:7">
      <c r="A229" t="s">
        <v>192</v>
      </c>
      <c r="B229" t="s">
        <v>324</v>
      </c>
      <c r="C229" t="s">
        <v>8</v>
      </c>
      <c r="D229" t="s">
        <v>38</v>
      </c>
      <c r="E229">
        <v>1</v>
      </c>
      <c r="F229">
        <v>52.75</v>
      </c>
      <c r="G229" t="s">
        <v>23</v>
      </c>
    </row>
    <row r="230" spans="1:7">
      <c r="A230" t="s">
        <v>193</v>
      </c>
      <c r="B230" s="11">
        <v>45920</v>
      </c>
      <c r="C230" t="s">
        <v>12</v>
      </c>
      <c r="D230" t="s">
        <v>38</v>
      </c>
      <c r="E230">
        <v>2</v>
      </c>
      <c r="F230">
        <v>135.55000000000001</v>
      </c>
      <c r="G230" t="s">
        <v>16</v>
      </c>
    </row>
    <row r="231" spans="1:7">
      <c r="A231" t="s">
        <v>197</v>
      </c>
      <c r="B231" s="11">
        <v>45828</v>
      </c>
      <c r="C231" t="s">
        <v>12</v>
      </c>
      <c r="D231" t="s">
        <v>38</v>
      </c>
      <c r="E231">
        <v>1</v>
      </c>
      <c r="F231">
        <v>72.260000000000005</v>
      </c>
      <c r="G231" t="s">
        <v>14</v>
      </c>
    </row>
    <row r="232" spans="1:7">
      <c r="A232" t="s">
        <v>198</v>
      </c>
      <c r="B232" s="11">
        <v>45987</v>
      </c>
      <c r="C232" t="s">
        <v>12</v>
      </c>
      <c r="D232" t="s">
        <v>38</v>
      </c>
      <c r="E232">
        <v>1</v>
      </c>
      <c r="F232">
        <v>50.46</v>
      </c>
      <c r="G232" t="s">
        <v>10</v>
      </c>
    </row>
    <row r="233" spans="1:7">
      <c r="A233" t="s">
        <v>199</v>
      </c>
      <c r="B233" s="11">
        <v>46054</v>
      </c>
      <c r="C233" t="s">
        <v>12</v>
      </c>
      <c r="D233" t="s">
        <v>38</v>
      </c>
      <c r="E233">
        <v>8</v>
      </c>
      <c r="F233">
        <v>120.09</v>
      </c>
      <c r="G233" t="s">
        <v>10</v>
      </c>
    </row>
    <row r="234" spans="1:7">
      <c r="A234" t="s">
        <v>236</v>
      </c>
      <c r="B234" s="11">
        <v>46110</v>
      </c>
      <c r="C234" t="s">
        <v>8</v>
      </c>
      <c r="D234" t="s">
        <v>38</v>
      </c>
      <c r="E234">
        <v>2</v>
      </c>
      <c r="F234">
        <v>134.85</v>
      </c>
      <c r="G234" t="s">
        <v>16</v>
      </c>
    </row>
    <row r="235" spans="1:7">
      <c r="A235" t="s">
        <v>241</v>
      </c>
      <c r="B235" s="11">
        <v>46143</v>
      </c>
      <c r="C235" t="s">
        <v>8</v>
      </c>
      <c r="D235" t="s">
        <v>38</v>
      </c>
      <c r="E235">
        <v>6</v>
      </c>
      <c r="F235">
        <v>120.19</v>
      </c>
      <c r="G235" t="s">
        <v>10</v>
      </c>
    </row>
    <row r="236" spans="1:7">
      <c r="A236" t="s">
        <v>266</v>
      </c>
      <c r="B236" s="11">
        <v>45937</v>
      </c>
      <c r="C236" t="s">
        <v>12</v>
      </c>
      <c r="D236" t="s">
        <v>38</v>
      </c>
      <c r="E236">
        <v>5</v>
      </c>
      <c r="F236">
        <v>113.84</v>
      </c>
      <c r="G236" t="s">
        <v>14</v>
      </c>
    </row>
    <row r="237" spans="1:7">
      <c r="A237" t="s">
        <v>268</v>
      </c>
      <c r="B237" s="11">
        <v>45977</v>
      </c>
      <c r="C237" t="s">
        <v>8</v>
      </c>
      <c r="D237" t="s">
        <v>38</v>
      </c>
      <c r="E237">
        <v>1</v>
      </c>
      <c r="F237">
        <v>75.39</v>
      </c>
      <c r="G237" t="s">
        <v>10</v>
      </c>
    </row>
    <row r="238" spans="1:7">
      <c r="A238" t="s">
        <v>273</v>
      </c>
      <c r="B238" s="11">
        <v>45781</v>
      </c>
      <c r="C238" t="s">
        <v>12</v>
      </c>
      <c r="D238" t="s">
        <v>38</v>
      </c>
      <c r="E238">
        <v>3</v>
      </c>
      <c r="F238">
        <v>95.25</v>
      </c>
      <c r="G238" t="s">
        <v>16</v>
      </c>
    </row>
    <row r="239" spans="1:7">
      <c r="A239" t="s">
        <v>275</v>
      </c>
      <c r="B239" s="11">
        <v>46131</v>
      </c>
      <c r="C239" t="s">
        <v>12</v>
      </c>
      <c r="D239" t="s">
        <v>38</v>
      </c>
      <c r="E239">
        <v>5</v>
      </c>
      <c r="F239">
        <v>93.44</v>
      </c>
      <c r="G239" t="s">
        <v>14</v>
      </c>
    </row>
    <row r="240" spans="1:7">
      <c r="A240" t="s">
        <v>276</v>
      </c>
      <c r="B240" s="11">
        <v>46076</v>
      </c>
      <c r="C240" t="s">
        <v>12</v>
      </c>
      <c r="D240" t="s">
        <v>38</v>
      </c>
      <c r="E240">
        <v>1</v>
      </c>
      <c r="F240">
        <v>128.38999999999999</v>
      </c>
      <c r="G240" t="s">
        <v>16</v>
      </c>
    </row>
    <row r="241" spans="1:7">
      <c r="A241" t="s">
        <v>278</v>
      </c>
      <c r="B241" s="11">
        <v>46011</v>
      </c>
      <c r="C241" t="s">
        <v>8</v>
      </c>
      <c r="D241" t="s">
        <v>38</v>
      </c>
      <c r="E241">
        <v>2</v>
      </c>
      <c r="F241">
        <v>68.16</v>
      </c>
      <c r="G241" t="s">
        <v>23</v>
      </c>
    </row>
    <row r="242" spans="1:7">
      <c r="A242" t="s">
        <v>282</v>
      </c>
      <c r="B242" s="11">
        <v>46224</v>
      </c>
      <c r="C242" t="s">
        <v>8</v>
      </c>
      <c r="D242" t="s">
        <v>38</v>
      </c>
      <c r="E242">
        <v>6</v>
      </c>
      <c r="F242">
        <v>52.87</v>
      </c>
      <c r="G242" t="s">
        <v>33</v>
      </c>
    </row>
    <row r="243" spans="1:7">
      <c r="A243" t="s">
        <v>283</v>
      </c>
      <c r="B243" s="11">
        <v>46070</v>
      </c>
      <c r="C243" t="s">
        <v>8</v>
      </c>
      <c r="D243" t="s">
        <v>38</v>
      </c>
      <c r="E243">
        <v>7</v>
      </c>
      <c r="F243">
        <v>74.180000000000007</v>
      </c>
      <c r="G243" t="s">
        <v>323</v>
      </c>
    </row>
    <row r="244" spans="1:7">
      <c r="A244" t="s">
        <v>284</v>
      </c>
      <c r="B244" s="11">
        <v>45908</v>
      </c>
      <c r="C244" t="s">
        <v>8</v>
      </c>
      <c r="D244" t="s">
        <v>38</v>
      </c>
      <c r="E244">
        <v>3</v>
      </c>
      <c r="F244">
        <v>103.71</v>
      </c>
      <c r="G244" t="s">
        <v>10</v>
      </c>
    </row>
    <row r="245" spans="1:7">
      <c r="A245" t="s">
        <v>54</v>
      </c>
      <c r="B245" s="11">
        <v>45702</v>
      </c>
      <c r="C245" t="s">
        <v>8</v>
      </c>
      <c r="D245" t="s">
        <v>323</v>
      </c>
      <c r="E245">
        <v>2</v>
      </c>
      <c r="F245">
        <v>27.15</v>
      </c>
      <c r="G245" t="s">
        <v>10</v>
      </c>
    </row>
    <row r="246" spans="1:7">
      <c r="A246" t="s">
        <v>57</v>
      </c>
      <c r="B246" s="11">
        <v>45776</v>
      </c>
      <c r="C246" t="s">
        <v>8</v>
      </c>
      <c r="D246" t="s">
        <v>323</v>
      </c>
      <c r="E246">
        <v>2</v>
      </c>
      <c r="F246">
        <v>21.57</v>
      </c>
      <c r="G246" t="s">
        <v>23</v>
      </c>
    </row>
    <row r="247" spans="1:7">
      <c r="A247" t="s">
        <v>84</v>
      </c>
      <c r="B247" s="11">
        <v>46029</v>
      </c>
      <c r="C247" t="s">
        <v>8</v>
      </c>
      <c r="D247" t="s">
        <v>323</v>
      </c>
      <c r="E247">
        <v>3</v>
      </c>
      <c r="F247">
        <v>16.579999999999998</v>
      </c>
      <c r="G247" t="s">
        <v>16</v>
      </c>
    </row>
    <row r="248" spans="1:7">
      <c r="A248" t="s">
        <v>99</v>
      </c>
      <c r="B248" s="11">
        <v>45872</v>
      </c>
      <c r="C248" t="s">
        <v>8</v>
      </c>
      <c r="D248" t="s">
        <v>323</v>
      </c>
      <c r="E248">
        <v>6</v>
      </c>
      <c r="F248">
        <v>10.79</v>
      </c>
      <c r="G248" t="s">
        <v>23</v>
      </c>
    </row>
    <row r="249" spans="1:7">
      <c r="A249" t="s">
        <v>101</v>
      </c>
      <c r="B249" s="11">
        <v>45806</v>
      </c>
      <c r="C249" t="s">
        <v>8</v>
      </c>
      <c r="D249" t="s">
        <v>323</v>
      </c>
      <c r="E249">
        <v>4</v>
      </c>
      <c r="F249">
        <v>60.52</v>
      </c>
      <c r="G249" t="s">
        <v>33</v>
      </c>
    </row>
    <row r="250" spans="1:7">
      <c r="A250" t="s">
        <v>112</v>
      </c>
      <c r="B250" s="11">
        <v>46111</v>
      </c>
      <c r="C250" t="s">
        <v>8</v>
      </c>
      <c r="D250" t="s">
        <v>323</v>
      </c>
      <c r="E250">
        <v>6</v>
      </c>
      <c r="F250">
        <v>19.32</v>
      </c>
      <c r="G250" t="s">
        <v>51</v>
      </c>
    </row>
    <row r="251" spans="1:7">
      <c r="A251" t="s">
        <v>113</v>
      </c>
      <c r="B251" s="11">
        <v>46230</v>
      </c>
      <c r="C251" t="s">
        <v>8</v>
      </c>
      <c r="D251" t="s">
        <v>323</v>
      </c>
      <c r="E251">
        <v>3</v>
      </c>
      <c r="F251">
        <v>138.38999999999999</v>
      </c>
      <c r="G251" t="s">
        <v>33</v>
      </c>
    </row>
    <row r="252" spans="1:7">
      <c r="A252" t="s">
        <v>120</v>
      </c>
      <c r="B252" s="11">
        <v>46012</v>
      </c>
      <c r="C252" t="s">
        <v>8</v>
      </c>
      <c r="D252" t="s">
        <v>323</v>
      </c>
      <c r="E252">
        <v>0</v>
      </c>
      <c r="F252">
        <v>50.49</v>
      </c>
      <c r="G252" t="s">
        <v>33</v>
      </c>
    </row>
    <row r="253" spans="1:7">
      <c r="A253" t="s">
        <v>144</v>
      </c>
      <c r="B253" s="11">
        <v>45735</v>
      </c>
      <c r="C253" t="s">
        <v>8</v>
      </c>
      <c r="D253" t="s">
        <v>323</v>
      </c>
      <c r="E253">
        <v>7</v>
      </c>
      <c r="F253">
        <v>71.22</v>
      </c>
      <c r="G253" t="s">
        <v>23</v>
      </c>
    </row>
    <row r="254" spans="1:7">
      <c r="A254" t="s">
        <v>150</v>
      </c>
      <c r="B254" s="11">
        <v>46091</v>
      </c>
      <c r="C254" t="s">
        <v>12</v>
      </c>
      <c r="D254" t="s">
        <v>323</v>
      </c>
      <c r="E254">
        <v>2</v>
      </c>
      <c r="F254">
        <v>64.44</v>
      </c>
      <c r="G254" t="s">
        <v>16</v>
      </c>
    </row>
    <row r="255" spans="1:7">
      <c r="A255" t="s">
        <v>169</v>
      </c>
      <c r="B255" s="11">
        <v>46232</v>
      </c>
      <c r="C255" t="s">
        <v>8</v>
      </c>
      <c r="D255" t="s">
        <v>323</v>
      </c>
      <c r="E255">
        <v>7</v>
      </c>
      <c r="F255">
        <v>90.6</v>
      </c>
      <c r="G255" t="s">
        <v>16</v>
      </c>
    </row>
    <row r="256" spans="1:7">
      <c r="A256" t="s">
        <v>207</v>
      </c>
      <c r="B256" s="11">
        <v>45941</v>
      </c>
      <c r="C256" t="s">
        <v>12</v>
      </c>
      <c r="D256" t="s">
        <v>323</v>
      </c>
      <c r="E256">
        <v>3</v>
      </c>
      <c r="F256">
        <v>16.54</v>
      </c>
      <c r="G256" t="s">
        <v>10</v>
      </c>
    </row>
    <row r="257" spans="1:7">
      <c r="A257" t="s">
        <v>213</v>
      </c>
      <c r="B257" s="11">
        <v>45884</v>
      </c>
      <c r="C257" t="s">
        <v>8</v>
      </c>
      <c r="D257" t="s">
        <v>323</v>
      </c>
      <c r="E257">
        <v>2</v>
      </c>
      <c r="F257">
        <v>22.32</v>
      </c>
      <c r="G257" t="s">
        <v>51</v>
      </c>
    </row>
    <row r="258" spans="1:7">
      <c r="A258" t="s">
        <v>225</v>
      </c>
      <c r="B258" s="11">
        <v>45767</v>
      </c>
      <c r="C258" t="s">
        <v>8</v>
      </c>
      <c r="D258" t="s">
        <v>323</v>
      </c>
      <c r="E258">
        <v>2</v>
      </c>
      <c r="F258">
        <v>0</v>
      </c>
      <c r="G258" t="s">
        <v>14</v>
      </c>
    </row>
    <row r="259" spans="1:7">
      <c r="A259" t="s">
        <v>227</v>
      </c>
      <c r="B259" s="11">
        <v>46134</v>
      </c>
      <c r="C259" t="s">
        <v>12</v>
      </c>
      <c r="D259" t="s">
        <v>323</v>
      </c>
      <c r="E259">
        <v>7</v>
      </c>
      <c r="F259">
        <v>10.7</v>
      </c>
      <c r="G259" t="s">
        <v>10</v>
      </c>
    </row>
    <row r="260" spans="1:7">
      <c r="A260" t="s">
        <v>238</v>
      </c>
      <c r="B260" s="11">
        <v>45877</v>
      </c>
      <c r="C260" t="s">
        <v>8</v>
      </c>
      <c r="D260" t="s">
        <v>323</v>
      </c>
      <c r="E260">
        <v>2</v>
      </c>
      <c r="F260">
        <v>269.2</v>
      </c>
      <c r="G260" t="s">
        <v>23</v>
      </c>
    </row>
    <row r="261" spans="1:7">
      <c r="A261" t="s">
        <v>292</v>
      </c>
      <c r="B261" s="11">
        <v>45978</v>
      </c>
      <c r="C261" t="s">
        <v>8</v>
      </c>
      <c r="D261" t="s">
        <v>323</v>
      </c>
      <c r="E261">
        <v>3</v>
      </c>
      <c r="F261">
        <v>158.86000000000001</v>
      </c>
      <c r="G261" t="s">
        <v>16</v>
      </c>
    </row>
    <row r="262" spans="1:7">
      <c r="A262" t="s">
        <v>18</v>
      </c>
      <c r="B262" s="11">
        <v>45800</v>
      </c>
      <c r="C262" t="s">
        <v>8</v>
      </c>
      <c r="D262" t="s">
        <v>19</v>
      </c>
      <c r="E262">
        <v>2</v>
      </c>
      <c r="F262">
        <v>6.08</v>
      </c>
      <c r="G262" t="s">
        <v>16</v>
      </c>
    </row>
    <row r="263" spans="1:7">
      <c r="A263" t="s">
        <v>21</v>
      </c>
      <c r="B263" s="11">
        <v>45876</v>
      </c>
      <c r="C263" t="s">
        <v>12</v>
      </c>
      <c r="D263" t="s">
        <v>19</v>
      </c>
      <c r="E263">
        <v>0</v>
      </c>
      <c r="F263">
        <v>5.18</v>
      </c>
      <c r="G263" t="s">
        <v>23</v>
      </c>
    </row>
    <row r="264" spans="1:7">
      <c r="A264" t="s">
        <v>25</v>
      </c>
      <c r="B264" s="11">
        <v>45950</v>
      </c>
      <c r="C264" t="s">
        <v>12</v>
      </c>
      <c r="D264" t="s">
        <v>19</v>
      </c>
      <c r="E264">
        <v>0</v>
      </c>
      <c r="F264">
        <v>6.03</v>
      </c>
      <c r="G264" t="s">
        <v>10</v>
      </c>
    </row>
    <row r="265" spans="1:7">
      <c r="A265" t="s">
        <v>32</v>
      </c>
      <c r="B265" s="11">
        <v>45978</v>
      </c>
      <c r="C265" t="s">
        <v>12</v>
      </c>
      <c r="D265" t="s">
        <v>19</v>
      </c>
      <c r="E265">
        <v>2</v>
      </c>
      <c r="F265">
        <v>12.08</v>
      </c>
      <c r="G265" t="s">
        <v>33</v>
      </c>
    </row>
    <row r="266" spans="1:7">
      <c r="A266" t="s">
        <v>34</v>
      </c>
      <c r="B266" s="11">
        <v>45835</v>
      </c>
      <c r="C266" t="s">
        <v>8</v>
      </c>
      <c r="D266" t="s">
        <v>19</v>
      </c>
      <c r="E266">
        <v>6</v>
      </c>
      <c r="F266">
        <v>7.75</v>
      </c>
      <c r="G266" t="s">
        <v>323</v>
      </c>
    </row>
    <row r="267" spans="1:7">
      <c r="A267" t="s">
        <v>40</v>
      </c>
      <c r="B267" s="11">
        <v>46083</v>
      </c>
      <c r="C267" t="s">
        <v>12</v>
      </c>
      <c r="D267" t="s">
        <v>19</v>
      </c>
      <c r="E267">
        <v>2</v>
      </c>
      <c r="F267">
        <v>10.43</v>
      </c>
      <c r="G267" t="s">
        <v>10</v>
      </c>
    </row>
    <row r="268" spans="1:7">
      <c r="A268" t="s">
        <v>309</v>
      </c>
      <c r="B268" s="11">
        <v>45731</v>
      </c>
      <c r="C268" t="s">
        <v>12</v>
      </c>
      <c r="D268" t="s">
        <v>19</v>
      </c>
      <c r="E268">
        <v>3</v>
      </c>
      <c r="F268">
        <v>12.72</v>
      </c>
      <c r="G268" t="s">
        <v>10</v>
      </c>
    </row>
    <row r="269" spans="1:7">
      <c r="A269" t="s">
        <v>56</v>
      </c>
      <c r="B269" s="11">
        <v>46092</v>
      </c>
      <c r="C269" t="s">
        <v>8</v>
      </c>
      <c r="D269" t="s">
        <v>19</v>
      </c>
      <c r="E269">
        <v>4</v>
      </c>
      <c r="F269">
        <v>12.26</v>
      </c>
      <c r="G269" t="s">
        <v>323</v>
      </c>
    </row>
    <row r="270" spans="1:7">
      <c r="A270" t="s">
        <v>61</v>
      </c>
      <c r="B270" s="11">
        <v>46082</v>
      </c>
      <c r="C270" t="s">
        <v>8</v>
      </c>
      <c r="D270" t="s">
        <v>19</v>
      </c>
      <c r="E270">
        <v>4</v>
      </c>
      <c r="F270">
        <v>6.56</v>
      </c>
      <c r="G270" t="s">
        <v>14</v>
      </c>
    </row>
    <row r="271" spans="1:7">
      <c r="A271" t="s">
        <v>72</v>
      </c>
      <c r="B271" s="11">
        <v>45721</v>
      </c>
      <c r="C271" t="s">
        <v>8</v>
      </c>
      <c r="D271" t="s">
        <v>19</v>
      </c>
      <c r="E271">
        <v>1</v>
      </c>
      <c r="F271">
        <v>9.2799999999999994</v>
      </c>
      <c r="G271" t="s">
        <v>10</v>
      </c>
    </row>
    <row r="272" spans="1:7">
      <c r="A272" t="s">
        <v>82</v>
      </c>
      <c r="B272" s="11">
        <v>45858</v>
      </c>
      <c r="C272" t="s">
        <v>12</v>
      </c>
      <c r="D272" t="s">
        <v>19</v>
      </c>
      <c r="E272">
        <v>4</v>
      </c>
      <c r="F272">
        <v>7.95</v>
      </c>
      <c r="G272" t="s">
        <v>23</v>
      </c>
    </row>
    <row r="273" spans="1:7">
      <c r="A273" t="s">
        <v>83</v>
      </c>
      <c r="B273" s="11">
        <v>45731</v>
      </c>
      <c r="C273" t="s">
        <v>8</v>
      </c>
      <c r="D273" t="s">
        <v>19</v>
      </c>
      <c r="E273">
        <v>5</v>
      </c>
      <c r="F273">
        <v>5.58</v>
      </c>
      <c r="G273" t="s">
        <v>16</v>
      </c>
    </row>
    <row r="274" spans="1:7">
      <c r="A274" t="s">
        <v>91</v>
      </c>
      <c r="B274" s="11">
        <v>45658</v>
      </c>
      <c r="C274" t="s">
        <v>12</v>
      </c>
      <c r="D274" t="s">
        <v>19</v>
      </c>
      <c r="E274">
        <v>5</v>
      </c>
      <c r="F274">
        <v>10.63</v>
      </c>
      <c r="G274" t="s">
        <v>14</v>
      </c>
    </row>
    <row r="275" spans="1:7">
      <c r="A275" t="s">
        <v>96</v>
      </c>
      <c r="B275" s="11">
        <v>45683</v>
      </c>
      <c r="C275" t="s">
        <v>8</v>
      </c>
      <c r="D275" t="s">
        <v>19</v>
      </c>
      <c r="E275">
        <v>2</v>
      </c>
      <c r="F275">
        <v>0</v>
      </c>
      <c r="G275" t="s">
        <v>10</v>
      </c>
    </row>
    <row r="276" spans="1:7">
      <c r="A276" t="s">
        <v>97</v>
      </c>
      <c r="B276" s="11">
        <v>45754</v>
      </c>
      <c r="C276" t="s">
        <v>12</v>
      </c>
      <c r="D276" t="s">
        <v>19</v>
      </c>
      <c r="E276">
        <v>5</v>
      </c>
      <c r="F276">
        <v>6.36</v>
      </c>
      <c r="G276" t="s">
        <v>33</v>
      </c>
    </row>
    <row r="277" spans="1:7">
      <c r="A277" t="s">
        <v>102</v>
      </c>
      <c r="B277" s="11">
        <v>45815</v>
      </c>
      <c r="C277" t="s">
        <v>8</v>
      </c>
      <c r="D277" t="s">
        <v>19</v>
      </c>
      <c r="E277">
        <v>3</v>
      </c>
      <c r="F277">
        <v>0</v>
      </c>
      <c r="G277" t="s">
        <v>10</v>
      </c>
    </row>
    <row r="278" spans="1:7">
      <c r="A278" t="s">
        <v>114</v>
      </c>
      <c r="B278" s="11">
        <v>46018</v>
      </c>
      <c r="C278" t="s">
        <v>12</v>
      </c>
      <c r="D278" t="s">
        <v>19</v>
      </c>
      <c r="E278">
        <v>3</v>
      </c>
      <c r="F278">
        <v>6.17</v>
      </c>
      <c r="G278" t="s">
        <v>14</v>
      </c>
    </row>
    <row r="279" spans="1:7">
      <c r="A279" t="s">
        <v>161</v>
      </c>
      <c r="B279" s="11">
        <v>45771</v>
      </c>
      <c r="C279" t="s">
        <v>8</v>
      </c>
      <c r="D279" t="s">
        <v>19</v>
      </c>
      <c r="E279">
        <v>6</v>
      </c>
      <c r="F279">
        <v>7.33</v>
      </c>
      <c r="G279" t="s">
        <v>10</v>
      </c>
    </row>
    <row r="280" spans="1:7">
      <c r="A280" t="s">
        <v>163</v>
      </c>
      <c r="B280" t="s">
        <v>324</v>
      </c>
      <c r="C280" t="s">
        <v>12</v>
      </c>
      <c r="D280" t="s">
        <v>19</v>
      </c>
      <c r="E280">
        <v>4</v>
      </c>
      <c r="F280">
        <v>7.21</v>
      </c>
      <c r="G280" t="s">
        <v>16</v>
      </c>
    </row>
    <row r="281" spans="1:7">
      <c r="A281" t="s">
        <v>165</v>
      </c>
      <c r="B281" s="11">
        <v>45706</v>
      </c>
      <c r="C281" t="s">
        <v>8</v>
      </c>
      <c r="D281" t="s">
        <v>19</v>
      </c>
      <c r="E281">
        <v>1</v>
      </c>
      <c r="F281">
        <v>10.61</v>
      </c>
      <c r="G281" t="s">
        <v>51</v>
      </c>
    </row>
    <row r="282" spans="1:7">
      <c r="A282" t="s">
        <v>316</v>
      </c>
      <c r="B282" s="11">
        <v>45847</v>
      </c>
      <c r="C282" t="s">
        <v>12</v>
      </c>
      <c r="D282" t="s">
        <v>19</v>
      </c>
      <c r="E282">
        <v>6</v>
      </c>
      <c r="F282">
        <v>12.28</v>
      </c>
      <c r="G282" t="s">
        <v>23</v>
      </c>
    </row>
    <row r="283" spans="1:7">
      <c r="A283" t="s">
        <v>171</v>
      </c>
      <c r="B283" s="11">
        <v>45969</v>
      </c>
      <c r="C283" t="s">
        <v>12</v>
      </c>
      <c r="D283" t="s">
        <v>19</v>
      </c>
      <c r="E283">
        <v>8</v>
      </c>
      <c r="F283">
        <v>12.76</v>
      </c>
      <c r="G283" t="s">
        <v>33</v>
      </c>
    </row>
    <row r="284" spans="1:7">
      <c r="A284" t="s">
        <v>181</v>
      </c>
      <c r="B284" s="11">
        <v>46099</v>
      </c>
      <c r="C284" t="s">
        <v>8</v>
      </c>
      <c r="D284" t="s">
        <v>19</v>
      </c>
      <c r="E284">
        <v>5</v>
      </c>
      <c r="F284">
        <v>10.32</v>
      </c>
      <c r="G284" t="s">
        <v>10</v>
      </c>
    </row>
    <row r="285" spans="1:7">
      <c r="A285" t="s">
        <v>201</v>
      </c>
      <c r="B285" s="11">
        <v>46057</v>
      </c>
      <c r="C285" t="s">
        <v>8</v>
      </c>
      <c r="D285" t="s">
        <v>19</v>
      </c>
      <c r="E285">
        <v>6</v>
      </c>
      <c r="F285">
        <v>4.93</v>
      </c>
      <c r="G285" t="s">
        <v>14</v>
      </c>
    </row>
    <row r="286" spans="1:7">
      <c r="A286" t="s">
        <v>205</v>
      </c>
      <c r="B286" s="11">
        <v>45934</v>
      </c>
      <c r="C286" t="s">
        <v>12</v>
      </c>
      <c r="D286" t="s">
        <v>19</v>
      </c>
      <c r="E286">
        <v>6</v>
      </c>
      <c r="F286">
        <v>5.59</v>
      </c>
      <c r="G286" t="s">
        <v>51</v>
      </c>
    </row>
    <row r="287" spans="1:7">
      <c r="A287" t="s">
        <v>215</v>
      </c>
      <c r="B287" s="11">
        <v>46023</v>
      </c>
      <c r="C287" t="s">
        <v>8</v>
      </c>
      <c r="D287" t="s">
        <v>19</v>
      </c>
      <c r="E287">
        <v>4</v>
      </c>
      <c r="F287">
        <v>0</v>
      </c>
      <c r="G287" t="s">
        <v>10</v>
      </c>
    </row>
    <row r="288" spans="1:7">
      <c r="A288" t="s">
        <v>221</v>
      </c>
      <c r="B288" s="11">
        <v>46179</v>
      </c>
      <c r="C288" t="s">
        <v>8</v>
      </c>
      <c r="D288" t="s">
        <v>19</v>
      </c>
      <c r="E288">
        <v>5</v>
      </c>
      <c r="F288">
        <v>8.39</v>
      </c>
      <c r="G288" t="s">
        <v>23</v>
      </c>
    </row>
    <row r="289" spans="1:7">
      <c r="A289" t="s">
        <v>243</v>
      </c>
      <c r="B289" s="11">
        <v>45955</v>
      </c>
      <c r="C289" t="s">
        <v>12</v>
      </c>
      <c r="D289" t="s">
        <v>19</v>
      </c>
      <c r="E289">
        <v>8</v>
      </c>
      <c r="F289">
        <v>8.06</v>
      </c>
      <c r="G289" t="s">
        <v>14</v>
      </c>
    </row>
    <row r="290" spans="1:7">
      <c r="A290" t="s">
        <v>246</v>
      </c>
      <c r="B290" s="11">
        <v>46088</v>
      </c>
      <c r="C290" t="s">
        <v>8</v>
      </c>
      <c r="D290" t="s">
        <v>19</v>
      </c>
      <c r="E290">
        <v>4</v>
      </c>
      <c r="F290">
        <v>10.54</v>
      </c>
      <c r="G290" t="s">
        <v>10</v>
      </c>
    </row>
    <row r="291" spans="1:7">
      <c r="A291" t="s">
        <v>260</v>
      </c>
      <c r="B291" s="11">
        <v>45860</v>
      </c>
      <c r="C291" t="s">
        <v>8</v>
      </c>
      <c r="D291" t="s">
        <v>19</v>
      </c>
      <c r="E291">
        <v>2</v>
      </c>
      <c r="F291">
        <v>5.6</v>
      </c>
      <c r="G291" t="s">
        <v>323</v>
      </c>
    </row>
    <row r="292" spans="1:7">
      <c r="A292" t="s">
        <v>271</v>
      </c>
      <c r="B292" s="11">
        <v>45911</v>
      </c>
      <c r="C292" t="s">
        <v>8</v>
      </c>
      <c r="D292" t="s">
        <v>19</v>
      </c>
      <c r="E292">
        <v>3</v>
      </c>
      <c r="F292">
        <v>9.18</v>
      </c>
      <c r="G292" t="s">
        <v>16</v>
      </c>
    </row>
    <row r="293" spans="1:7">
      <c r="A293" t="s">
        <v>291</v>
      </c>
      <c r="B293" s="11">
        <v>46091</v>
      </c>
      <c r="C293" t="s">
        <v>8</v>
      </c>
      <c r="D293" t="s">
        <v>19</v>
      </c>
      <c r="E293">
        <v>7</v>
      </c>
      <c r="F293">
        <v>0</v>
      </c>
      <c r="G293" t="s">
        <v>10</v>
      </c>
    </row>
    <row r="294" spans="1:7">
      <c r="A294" t="s">
        <v>298</v>
      </c>
      <c r="B294" s="11">
        <v>45805</v>
      </c>
      <c r="C294" t="s">
        <v>12</v>
      </c>
      <c r="D294" t="s">
        <v>19</v>
      </c>
      <c r="E294">
        <v>6</v>
      </c>
      <c r="F294">
        <v>7.41</v>
      </c>
      <c r="G294" t="s">
        <v>14</v>
      </c>
    </row>
    <row r="295" spans="1:7">
      <c r="A295" t="s">
        <v>322</v>
      </c>
      <c r="B295" s="11">
        <v>45903</v>
      </c>
      <c r="C295" t="s">
        <v>12</v>
      </c>
      <c r="D295" t="s">
        <v>19</v>
      </c>
      <c r="E295">
        <v>8</v>
      </c>
      <c r="F295">
        <v>5.62</v>
      </c>
      <c r="G295" t="s">
        <v>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7348-2011-4270-8FD8-BE2E7EA51448}">
  <dimension ref="A1:H293"/>
  <sheetViews>
    <sheetView workbookViewId="0">
      <selection activeCell="A72" sqref="A72"/>
    </sheetView>
  </sheetViews>
  <sheetFormatPr defaultRowHeight="14.5"/>
  <cols>
    <col min="1" max="1" width="18.453125" customWidth="1"/>
    <col min="2" max="2" width="19.6328125" bestFit="1" customWidth="1"/>
    <col min="3" max="3" width="26.26953125" customWidth="1"/>
    <col min="4" max="4" width="25.6328125" customWidth="1"/>
    <col min="5" max="5" width="13.6328125" customWidth="1"/>
    <col min="6" max="6" width="14.90625" bestFit="1" customWidth="1"/>
    <col min="7" max="7" width="14.90625" customWidth="1"/>
    <col min="8" max="8" width="16.90625" customWidth="1"/>
  </cols>
  <sheetData>
    <row r="1" spans="1:8">
      <c r="A1" s="1" t="s">
        <v>0</v>
      </c>
      <c r="B1" s="6" t="s">
        <v>1</v>
      </c>
      <c r="C1" s="1" t="s">
        <v>2</v>
      </c>
      <c r="D1" s="1" t="s">
        <v>3</v>
      </c>
      <c r="E1" s="1" t="s">
        <v>4</v>
      </c>
      <c r="F1" s="1" t="s">
        <v>5</v>
      </c>
      <c r="G1" s="1" t="s">
        <v>354</v>
      </c>
      <c r="H1" s="1" t="s">
        <v>6</v>
      </c>
    </row>
    <row r="2" spans="1:8" hidden="1">
      <c r="A2" t="s">
        <v>318</v>
      </c>
      <c r="B2" s="2">
        <v>46082</v>
      </c>
      <c r="C2" t="s">
        <v>8</v>
      </c>
      <c r="D2" t="s">
        <v>9</v>
      </c>
      <c r="E2">
        <v>6</v>
      </c>
      <c r="F2" s="5">
        <v>22.02</v>
      </c>
      <c r="G2" s="5">
        <f>Table1[[#This Row],[Quantity]]*Table1[[#This Row],[Unit_Price]]</f>
        <v>132.12</v>
      </c>
      <c r="H2" t="s">
        <v>23</v>
      </c>
    </row>
    <row r="3" spans="1:8" hidden="1">
      <c r="A3" t="s">
        <v>321</v>
      </c>
      <c r="B3" s="2">
        <v>46045</v>
      </c>
      <c r="C3" t="s">
        <v>8</v>
      </c>
      <c r="D3" t="s">
        <v>9</v>
      </c>
      <c r="E3">
        <v>5</v>
      </c>
      <c r="F3" s="5">
        <v>17.73</v>
      </c>
      <c r="G3" s="5">
        <f>Table1[[#This Row],[Quantity]]*Table1[[#This Row],[Unit_Price]]</f>
        <v>88.65</v>
      </c>
      <c r="H3" t="s">
        <v>51</v>
      </c>
    </row>
    <row r="4" spans="1:8" hidden="1">
      <c r="A4" t="s">
        <v>310</v>
      </c>
      <c r="B4" s="2">
        <v>46091</v>
      </c>
      <c r="C4" t="s">
        <v>12</v>
      </c>
      <c r="D4" t="s">
        <v>27</v>
      </c>
      <c r="E4">
        <v>2</v>
      </c>
      <c r="F4" s="5">
        <v>168.49</v>
      </c>
      <c r="G4" s="5">
        <f>Table1[[#This Row],[Quantity]]*Table1[[#This Row],[Unit_Price]]</f>
        <v>336.98</v>
      </c>
      <c r="H4" t="s">
        <v>16</v>
      </c>
    </row>
    <row r="5" spans="1:8" hidden="1">
      <c r="A5" t="s">
        <v>314</v>
      </c>
      <c r="B5" s="2">
        <v>45662</v>
      </c>
      <c r="C5" t="s">
        <v>12</v>
      </c>
      <c r="D5" t="s">
        <v>38</v>
      </c>
      <c r="E5">
        <v>3</v>
      </c>
      <c r="F5" s="5">
        <v>131.13999999999999</v>
      </c>
      <c r="G5" s="5">
        <f>Table1[[#This Row],[Quantity]]*Table1[[#This Row],[Unit_Price]]</f>
        <v>393.41999999999996</v>
      </c>
      <c r="H5" t="s">
        <v>33</v>
      </c>
    </row>
    <row r="6" spans="1:8" hidden="1">
      <c r="A6" t="s">
        <v>315</v>
      </c>
      <c r="B6" s="2">
        <v>45829</v>
      </c>
      <c r="C6" t="s">
        <v>12</v>
      </c>
      <c r="D6" t="s">
        <v>27</v>
      </c>
      <c r="E6">
        <v>1</v>
      </c>
      <c r="F6" s="5">
        <v>228.02</v>
      </c>
      <c r="G6" s="5">
        <f>Table1[[#This Row],[Quantity]]*Table1[[#This Row],[Unit_Price]]</f>
        <v>228.02</v>
      </c>
      <c r="H6" t="s">
        <v>33</v>
      </c>
    </row>
    <row r="7" spans="1:8" hidden="1">
      <c r="A7" t="s">
        <v>316</v>
      </c>
      <c r="B7" s="2">
        <v>45847</v>
      </c>
      <c r="C7" t="s">
        <v>12</v>
      </c>
      <c r="D7" t="s">
        <v>19</v>
      </c>
      <c r="E7">
        <v>6</v>
      </c>
      <c r="F7" s="5">
        <v>12.28</v>
      </c>
      <c r="G7" s="5">
        <f>Table1[[#This Row],[Quantity]]*Table1[[#This Row],[Unit_Price]]</f>
        <v>73.679999999999993</v>
      </c>
      <c r="H7" t="s">
        <v>23</v>
      </c>
    </row>
    <row r="8" spans="1:8" hidden="1">
      <c r="A8" t="s">
        <v>317</v>
      </c>
      <c r="B8" s="2">
        <v>45795</v>
      </c>
      <c r="C8" t="s">
        <v>12</v>
      </c>
      <c r="D8" t="s">
        <v>9</v>
      </c>
      <c r="E8">
        <v>8</v>
      </c>
      <c r="F8" s="5">
        <v>12.09</v>
      </c>
      <c r="G8" s="5">
        <f>Table1[[#This Row],[Quantity]]*Table1[[#This Row],[Unit_Price]]</f>
        <v>96.72</v>
      </c>
      <c r="H8" t="s">
        <v>33</v>
      </c>
    </row>
    <row r="9" spans="1:8" hidden="1">
      <c r="A9" t="s">
        <v>319</v>
      </c>
      <c r="B9" s="2">
        <v>45997</v>
      </c>
      <c r="C9" t="s">
        <v>8</v>
      </c>
      <c r="D9" t="s">
        <v>27</v>
      </c>
      <c r="E9">
        <v>3</v>
      </c>
      <c r="F9" s="5">
        <v>280.95</v>
      </c>
      <c r="G9" s="5">
        <f>Table1[[#This Row],[Quantity]]*Table1[[#This Row],[Unit_Price]]</f>
        <v>842.84999999999991</v>
      </c>
      <c r="H9" t="s">
        <v>10</v>
      </c>
    </row>
    <row r="10" spans="1:8" hidden="1">
      <c r="A10" t="s">
        <v>320</v>
      </c>
      <c r="B10" s="2">
        <v>45806</v>
      </c>
      <c r="C10" t="s">
        <v>12</v>
      </c>
      <c r="D10" t="s">
        <v>13</v>
      </c>
      <c r="E10">
        <v>6</v>
      </c>
      <c r="F10" s="5">
        <v>62.1</v>
      </c>
      <c r="G10" s="5">
        <f>Table1[[#This Row],[Quantity]]*Table1[[#This Row],[Unit_Price]]</f>
        <v>372.6</v>
      </c>
      <c r="H10" t="s">
        <v>23</v>
      </c>
    </row>
    <row r="11" spans="1:8" hidden="1">
      <c r="A11" t="s">
        <v>309</v>
      </c>
      <c r="B11" s="2">
        <v>45731</v>
      </c>
      <c r="C11" t="s">
        <v>12</v>
      </c>
      <c r="D11" t="s">
        <v>19</v>
      </c>
      <c r="E11">
        <v>3</v>
      </c>
      <c r="F11" s="5">
        <v>12.72</v>
      </c>
      <c r="G11" s="5">
        <f>Table1[[#This Row],[Quantity]]*Table1[[#This Row],[Unit_Price]]</f>
        <v>38.160000000000004</v>
      </c>
      <c r="H11" t="s">
        <v>10</v>
      </c>
    </row>
    <row r="12" spans="1:8" hidden="1">
      <c r="A12" t="s">
        <v>322</v>
      </c>
      <c r="B12" s="2">
        <v>45903</v>
      </c>
      <c r="C12" t="s">
        <v>12</v>
      </c>
      <c r="D12" t="s">
        <v>19</v>
      </c>
      <c r="E12">
        <v>8</v>
      </c>
      <c r="F12" s="5">
        <v>5.62</v>
      </c>
      <c r="G12" s="5">
        <f>Table1[[#This Row],[Quantity]]*Table1[[#This Row],[Unit_Price]]</f>
        <v>44.96</v>
      </c>
      <c r="H12" t="s">
        <v>14</v>
      </c>
    </row>
    <row r="13" spans="1:8" hidden="1">
      <c r="A13" t="s">
        <v>308</v>
      </c>
      <c r="B13" s="2">
        <v>45792</v>
      </c>
      <c r="C13" t="s">
        <v>12</v>
      </c>
      <c r="D13" t="s">
        <v>13</v>
      </c>
      <c r="E13">
        <v>4</v>
      </c>
      <c r="F13" s="5">
        <v>48.36</v>
      </c>
      <c r="G13" s="5">
        <f>Table1[[#This Row],[Quantity]]*Table1[[#This Row],[Unit_Price]]</f>
        <v>193.44</v>
      </c>
      <c r="H13" t="s">
        <v>10</v>
      </c>
    </row>
    <row r="14" spans="1:8" hidden="1">
      <c r="A14" t="s">
        <v>311</v>
      </c>
      <c r="B14" s="2">
        <v>45690</v>
      </c>
      <c r="C14" t="s">
        <v>12</v>
      </c>
      <c r="D14" t="s">
        <v>27</v>
      </c>
      <c r="E14">
        <v>8</v>
      </c>
      <c r="F14" s="5">
        <v>210</v>
      </c>
      <c r="G14" s="5">
        <f>Table1[[#This Row],[Quantity]]*Table1[[#This Row],[Unit_Price]]</f>
        <v>1680</v>
      </c>
      <c r="H14" t="s">
        <v>10</v>
      </c>
    </row>
    <row r="15" spans="1:8" hidden="1">
      <c r="A15" t="s">
        <v>193</v>
      </c>
      <c r="B15" s="2">
        <v>45920</v>
      </c>
      <c r="C15" t="s">
        <v>12</v>
      </c>
      <c r="D15" t="s">
        <v>38</v>
      </c>
      <c r="E15">
        <v>2</v>
      </c>
      <c r="F15" s="5">
        <v>135.55000000000001</v>
      </c>
      <c r="G15" s="5">
        <f>Table1[[#This Row],[Quantity]]*Table1[[#This Row],[Unit_Price]]</f>
        <v>271.10000000000002</v>
      </c>
      <c r="H15" t="s">
        <v>16</v>
      </c>
    </row>
    <row r="16" spans="1:8" hidden="1">
      <c r="A16" t="s">
        <v>239</v>
      </c>
      <c r="B16" s="2">
        <v>45824</v>
      </c>
      <c r="C16" t="s">
        <v>8</v>
      </c>
      <c r="D16" t="s">
        <v>9</v>
      </c>
      <c r="E16">
        <v>3</v>
      </c>
      <c r="F16" s="5">
        <v>20.86</v>
      </c>
      <c r="G16" s="5">
        <f>Table1[[#This Row],[Quantity]]*Table1[[#This Row],[Unit_Price]]</f>
        <v>62.58</v>
      </c>
      <c r="H16" t="s">
        <v>16</v>
      </c>
    </row>
    <row r="17" spans="1:8" hidden="1">
      <c r="A17" t="s">
        <v>165</v>
      </c>
      <c r="B17" s="2">
        <v>45706</v>
      </c>
      <c r="C17" t="s">
        <v>8</v>
      </c>
      <c r="D17" t="s">
        <v>19</v>
      </c>
      <c r="E17">
        <v>1</v>
      </c>
      <c r="F17" s="5">
        <v>10.61</v>
      </c>
      <c r="G17" s="5">
        <f>Table1[[#This Row],[Quantity]]*Table1[[#This Row],[Unit_Price]]</f>
        <v>10.61</v>
      </c>
      <c r="H17" t="s">
        <v>51</v>
      </c>
    </row>
    <row r="18" spans="1:8" hidden="1">
      <c r="A18" t="s">
        <v>43</v>
      </c>
      <c r="B18" s="2">
        <v>45761</v>
      </c>
      <c r="C18" t="s">
        <v>12</v>
      </c>
      <c r="D18" t="s">
        <v>27</v>
      </c>
      <c r="E18">
        <v>6</v>
      </c>
      <c r="F18" s="5">
        <v>1008.97</v>
      </c>
      <c r="G18" s="5">
        <f>Table1[[#This Row],[Quantity]]*Table1[[#This Row],[Unit_Price]]</f>
        <v>6053.82</v>
      </c>
      <c r="H18" t="s">
        <v>14</v>
      </c>
    </row>
    <row r="19" spans="1:8" hidden="1">
      <c r="A19" t="s">
        <v>312</v>
      </c>
      <c r="B19" s="2">
        <v>46188</v>
      </c>
      <c r="C19" t="s">
        <v>12</v>
      </c>
      <c r="D19" t="s">
        <v>13</v>
      </c>
      <c r="E19">
        <v>1</v>
      </c>
      <c r="F19" s="5">
        <v>45.21</v>
      </c>
      <c r="G19" s="5">
        <f>Table1[[#This Row],[Quantity]]*Table1[[#This Row],[Unit_Price]]</f>
        <v>45.21</v>
      </c>
      <c r="H19" t="s">
        <v>33</v>
      </c>
    </row>
    <row r="20" spans="1:8" hidden="1">
      <c r="A20" t="s">
        <v>131</v>
      </c>
      <c r="B20" s="2">
        <v>45737</v>
      </c>
      <c r="C20" t="s">
        <v>8</v>
      </c>
      <c r="D20" t="s">
        <v>13</v>
      </c>
      <c r="E20">
        <v>5</v>
      </c>
      <c r="F20" s="5">
        <v>57.14</v>
      </c>
      <c r="G20" s="5">
        <f>Table1[[#This Row],[Quantity]]*Table1[[#This Row],[Unit_Price]]</f>
        <v>285.7</v>
      </c>
      <c r="H20" t="s">
        <v>10</v>
      </c>
    </row>
    <row r="21" spans="1:8" hidden="1">
      <c r="A21" t="s">
        <v>213</v>
      </c>
      <c r="B21" s="2">
        <v>45884</v>
      </c>
      <c r="C21" t="s">
        <v>8</v>
      </c>
      <c r="D21" t="s">
        <v>323</v>
      </c>
      <c r="E21">
        <v>2</v>
      </c>
      <c r="F21" s="5">
        <v>22.32</v>
      </c>
      <c r="G21" s="5">
        <f>Table1[[#This Row],[Quantity]]*Table1[[#This Row],[Unit_Price]]</f>
        <v>44.64</v>
      </c>
      <c r="H21" t="s">
        <v>51</v>
      </c>
    </row>
    <row r="22" spans="1:8" hidden="1">
      <c r="A22" t="s">
        <v>313</v>
      </c>
      <c r="B22" s="2">
        <v>46088</v>
      </c>
      <c r="C22" t="s">
        <v>12</v>
      </c>
      <c r="D22" t="s">
        <v>9</v>
      </c>
      <c r="E22">
        <v>4</v>
      </c>
      <c r="F22" s="5">
        <v>12.05</v>
      </c>
      <c r="G22" s="5">
        <f>Table1[[#This Row],[Quantity]]*Table1[[#This Row],[Unit_Price]]</f>
        <v>48.2</v>
      </c>
      <c r="H22" t="s">
        <v>16</v>
      </c>
    </row>
    <row r="23" spans="1:8" hidden="1">
      <c r="A23" t="s">
        <v>155</v>
      </c>
      <c r="B23" s="2">
        <v>46086</v>
      </c>
      <c r="C23" t="s">
        <v>8</v>
      </c>
      <c r="D23" t="s">
        <v>27</v>
      </c>
      <c r="E23">
        <v>2</v>
      </c>
      <c r="F23" s="5">
        <v>128.03</v>
      </c>
      <c r="G23" s="5">
        <f>Table1[[#This Row],[Quantity]]*Table1[[#This Row],[Unit_Price]]</f>
        <v>256.06</v>
      </c>
      <c r="H23" t="s">
        <v>10</v>
      </c>
    </row>
    <row r="24" spans="1:8" hidden="1">
      <c r="A24" t="s">
        <v>56</v>
      </c>
      <c r="B24" s="2">
        <v>46092</v>
      </c>
      <c r="C24" t="s">
        <v>8</v>
      </c>
      <c r="D24" t="s">
        <v>19</v>
      </c>
      <c r="E24">
        <v>4</v>
      </c>
      <c r="F24" s="5">
        <v>12.26</v>
      </c>
      <c r="G24" s="5">
        <f>Table1[[#This Row],[Quantity]]*Table1[[#This Row],[Unit_Price]]</f>
        <v>49.04</v>
      </c>
      <c r="H24" t="s">
        <v>323</v>
      </c>
    </row>
    <row r="25" spans="1:8" hidden="1">
      <c r="A25" t="s">
        <v>176</v>
      </c>
      <c r="B25" s="2">
        <v>45748</v>
      </c>
      <c r="C25" t="s">
        <v>12</v>
      </c>
      <c r="D25" t="s">
        <v>38</v>
      </c>
      <c r="E25">
        <v>8</v>
      </c>
      <c r="F25" s="5">
        <v>120.06</v>
      </c>
      <c r="G25" s="5">
        <f>Table1[[#This Row],[Quantity]]*Table1[[#This Row],[Unit_Price]]</f>
        <v>960.48</v>
      </c>
      <c r="H25" t="s">
        <v>23</v>
      </c>
    </row>
    <row r="26" spans="1:8" hidden="1">
      <c r="A26" t="s">
        <v>306</v>
      </c>
      <c r="B26" s="2">
        <v>45726</v>
      </c>
      <c r="C26" t="s">
        <v>12</v>
      </c>
      <c r="D26" t="s">
        <v>9</v>
      </c>
      <c r="E26">
        <v>1</v>
      </c>
      <c r="F26" s="5">
        <v>14.85</v>
      </c>
      <c r="G26" s="5">
        <f>Table1[[#This Row],[Quantity]]*Table1[[#This Row],[Unit_Price]]</f>
        <v>14.85</v>
      </c>
      <c r="H26" t="s">
        <v>323</v>
      </c>
    </row>
    <row r="27" spans="1:8" hidden="1">
      <c r="A27" t="s">
        <v>255</v>
      </c>
      <c r="B27" s="2">
        <v>45955</v>
      </c>
      <c r="C27" t="s">
        <v>12</v>
      </c>
      <c r="D27" t="s">
        <v>27</v>
      </c>
      <c r="E27">
        <v>7</v>
      </c>
      <c r="F27" s="5">
        <v>132.63</v>
      </c>
      <c r="G27" s="5">
        <f>Table1[[#This Row],[Quantity]]*Table1[[#This Row],[Unit_Price]]</f>
        <v>928.41</v>
      </c>
      <c r="H27" t="s">
        <v>14</v>
      </c>
    </row>
    <row r="28" spans="1:8" hidden="1">
      <c r="A28" t="s">
        <v>241</v>
      </c>
      <c r="B28" s="2">
        <v>46143</v>
      </c>
      <c r="C28" t="s">
        <v>8</v>
      </c>
      <c r="D28" t="s">
        <v>38</v>
      </c>
      <c r="E28">
        <v>6</v>
      </c>
      <c r="F28" s="5">
        <v>120.19</v>
      </c>
      <c r="G28" s="5">
        <f>Table1[[#This Row],[Quantity]]*Table1[[#This Row],[Unit_Price]]</f>
        <v>721.14</v>
      </c>
      <c r="H28" t="s">
        <v>10</v>
      </c>
    </row>
    <row r="29" spans="1:8" hidden="1">
      <c r="A29" t="s">
        <v>254</v>
      </c>
      <c r="B29" s="2">
        <v>45934</v>
      </c>
      <c r="C29" t="s">
        <v>8</v>
      </c>
      <c r="D29" t="s">
        <v>9</v>
      </c>
      <c r="E29">
        <v>1</v>
      </c>
      <c r="F29" s="5">
        <v>12.01</v>
      </c>
      <c r="G29" s="5">
        <f>Table1[[#This Row],[Quantity]]*Table1[[#This Row],[Unit_Price]]</f>
        <v>12.01</v>
      </c>
      <c r="H29" t="s">
        <v>10</v>
      </c>
    </row>
    <row r="30" spans="1:8" hidden="1">
      <c r="A30" t="s">
        <v>96</v>
      </c>
      <c r="B30" s="2">
        <v>45683</v>
      </c>
      <c r="C30" t="s">
        <v>8</v>
      </c>
      <c r="D30" t="s">
        <v>19</v>
      </c>
      <c r="E30">
        <v>2</v>
      </c>
      <c r="F30" s="5">
        <v>1008.97</v>
      </c>
      <c r="G30" s="5">
        <f>Table1[[#This Row],[Quantity]]*Table1[[#This Row],[Unit_Price]]</f>
        <v>2017.94</v>
      </c>
      <c r="H30" t="s">
        <v>10</v>
      </c>
    </row>
    <row r="31" spans="1:8" hidden="1">
      <c r="A31" t="s">
        <v>205</v>
      </c>
      <c r="B31" s="2">
        <v>45934</v>
      </c>
      <c r="C31" t="s">
        <v>12</v>
      </c>
      <c r="D31" t="s">
        <v>19</v>
      </c>
      <c r="E31">
        <v>6</v>
      </c>
      <c r="F31" s="5">
        <v>5.59</v>
      </c>
      <c r="G31" s="5">
        <f>Table1[[#This Row],[Quantity]]*Table1[[#This Row],[Unit_Price]]</f>
        <v>33.54</v>
      </c>
      <c r="H31" t="s">
        <v>51</v>
      </c>
    </row>
    <row r="32" spans="1:8">
      <c r="A32" t="s">
        <v>119</v>
      </c>
      <c r="B32" s="2">
        <v>73050</v>
      </c>
      <c r="C32" t="s">
        <v>12</v>
      </c>
      <c r="D32" t="s">
        <v>13</v>
      </c>
      <c r="E32">
        <v>4</v>
      </c>
      <c r="F32" s="5">
        <v>61.48</v>
      </c>
      <c r="G32" s="5">
        <f>Table1[[#This Row],[Quantity]]*Table1[[#This Row],[Unit_Price]]</f>
        <v>245.92</v>
      </c>
      <c r="H32" t="s">
        <v>10</v>
      </c>
    </row>
    <row r="33" spans="1:8" hidden="1">
      <c r="A33" t="s">
        <v>167</v>
      </c>
      <c r="B33" s="2">
        <v>46047</v>
      </c>
      <c r="C33" t="s">
        <v>8</v>
      </c>
      <c r="D33" t="s">
        <v>13</v>
      </c>
      <c r="E33">
        <v>6</v>
      </c>
      <c r="F33" s="5">
        <v>67.680000000000007</v>
      </c>
      <c r="G33" s="5">
        <f>Table1[[#This Row],[Quantity]]*Table1[[#This Row],[Unit_Price]]</f>
        <v>406.08000000000004</v>
      </c>
      <c r="H33" t="s">
        <v>14</v>
      </c>
    </row>
    <row r="34" spans="1:8" hidden="1">
      <c r="A34" t="s">
        <v>121</v>
      </c>
      <c r="B34" s="2">
        <v>45983</v>
      </c>
      <c r="C34" t="s">
        <v>8</v>
      </c>
      <c r="D34" t="s">
        <v>9</v>
      </c>
      <c r="E34">
        <v>8</v>
      </c>
      <c r="F34" s="5">
        <v>20.79</v>
      </c>
      <c r="G34" s="5">
        <f>Table1[[#This Row],[Quantity]]*Table1[[#This Row],[Unit_Price]]</f>
        <v>166.32</v>
      </c>
      <c r="H34" t="s">
        <v>10</v>
      </c>
    </row>
    <row r="35" spans="1:8">
      <c r="A35" t="s">
        <v>145</v>
      </c>
      <c r="B35" s="2">
        <v>73050</v>
      </c>
      <c r="C35" t="s">
        <v>8</v>
      </c>
      <c r="D35" t="s">
        <v>27</v>
      </c>
      <c r="E35">
        <v>5</v>
      </c>
      <c r="F35" s="5">
        <v>335.42</v>
      </c>
      <c r="G35" s="5">
        <f>Table1[[#This Row],[Quantity]]*Table1[[#This Row],[Unit_Price]]</f>
        <v>1677.1000000000001</v>
      </c>
      <c r="H35" t="s">
        <v>16</v>
      </c>
    </row>
    <row r="36" spans="1:8" hidden="1">
      <c r="A36" t="s">
        <v>294</v>
      </c>
      <c r="B36" s="2">
        <v>45875</v>
      </c>
      <c r="C36" t="s">
        <v>12</v>
      </c>
      <c r="D36" t="s">
        <v>13</v>
      </c>
      <c r="E36">
        <v>1</v>
      </c>
      <c r="F36" s="5">
        <v>69.709999999999994</v>
      </c>
      <c r="G36" s="5">
        <f>Table1[[#This Row],[Quantity]]*Table1[[#This Row],[Unit_Price]]</f>
        <v>69.709999999999994</v>
      </c>
      <c r="H36" t="s">
        <v>16</v>
      </c>
    </row>
    <row r="37" spans="1:8" hidden="1">
      <c r="A37" t="s">
        <v>52</v>
      </c>
      <c r="B37" s="2">
        <v>45787</v>
      </c>
      <c r="C37" t="s">
        <v>12</v>
      </c>
      <c r="D37" t="s">
        <v>27</v>
      </c>
      <c r="E37">
        <v>2</v>
      </c>
      <c r="F37" s="5">
        <v>1008.97</v>
      </c>
      <c r="G37" s="5">
        <f>Table1[[#This Row],[Quantity]]*Table1[[#This Row],[Unit_Price]]</f>
        <v>2017.94</v>
      </c>
      <c r="H37" t="s">
        <v>10</v>
      </c>
    </row>
    <row r="38" spans="1:8" hidden="1">
      <c r="A38" t="s">
        <v>154</v>
      </c>
      <c r="B38" s="2">
        <v>46212</v>
      </c>
      <c r="C38" t="s">
        <v>8</v>
      </c>
      <c r="D38" t="s">
        <v>13</v>
      </c>
      <c r="E38">
        <v>8</v>
      </c>
      <c r="F38" s="5">
        <v>45.98</v>
      </c>
      <c r="G38" s="5">
        <f>Table1[[#This Row],[Quantity]]*Table1[[#This Row],[Unit_Price]]</f>
        <v>367.84</v>
      </c>
      <c r="H38" t="s">
        <v>16</v>
      </c>
    </row>
    <row r="39" spans="1:8" hidden="1">
      <c r="A39" t="s">
        <v>124</v>
      </c>
      <c r="B39" s="2">
        <v>46005</v>
      </c>
      <c r="C39" t="s">
        <v>12</v>
      </c>
      <c r="D39" t="s">
        <v>27</v>
      </c>
      <c r="E39">
        <v>1</v>
      </c>
      <c r="F39" s="5">
        <v>182</v>
      </c>
      <c r="G39" s="5">
        <f>Table1[[#This Row],[Quantity]]*Table1[[#This Row],[Unit_Price]]</f>
        <v>182</v>
      </c>
      <c r="H39" t="s">
        <v>14</v>
      </c>
    </row>
    <row r="40" spans="1:8" hidden="1">
      <c r="A40" t="s">
        <v>220</v>
      </c>
      <c r="B40" s="2">
        <v>46020</v>
      </c>
      <c r="C40" t="s">
        <v>12</v>
      </c>
      <c r="D40" t="s">
        <v>27</v>
      </c>
      <c r="E40">
        <v>8</v>
      </c>
      <c r="F40" s="5">
        <v>313.14</v>
      </c>
      <c r="G40" s="5">
        <f>Table1[[#This Row],[Quantity]]*Table1[[#This Row],[Unit_Price]]</f>
        <v>2505.12</v>
      </c>
      <c r="H40" t="s">
        <v>10</v>
      </c>
    </row>
    <row r="41" spans="1:8" hidden="1">
      <c r="A41" t="s">
        <v>238</v>
      </c>
      <c r="B41" s="2">
        <v>45877</v>
      </c>
      <c r="C41" t="s">
        <v>8</v>
      </c>
      <c r="D41" t="s">
        <v>323</v>
      </c>
      <c r="E41">
        <v>2</v>
      </c>
      <c r="F41" s="5">
        <v>269.2</v>
      </c>
      <c r="G41" s="5">
        <f>Table1[[#This Row],[Quantity]]*Table1[[#This Row],[Unit_Price]]</f>
        <v>538.4</v>
      </c>
      <c r="H41" t="s">
        <v>23</v>
      </c>
    </row>
    <row r="42" spans="1:8" hidden="1">
      <c r="A42" t="s">
        <v>170</v>
      </c>
      <c r="B42" s="2">
        <v>45952</v>
      </c>
      <c r="C42" t="s">
        <v>12</v>
      </c>
      <c r="D42" t="s">
        <v>27</v>
      </c>
      <c r="E42">
        <v>3</v>
      </c>
      <c r="F42" s="5">
        <v>145.54</v>
      </c>
      <c r="G42" s="5">
        <f>Table1[[#This Row],[Quantity]]*Table1[[#This Row],[Unit_Price]]</f>
        <v>436.62</v>
      </c>
      <c r="H42" t="s">
        <v>10</v>
      </c>
    </row>
    <row r="43" spans="1:8" hidden="1">
      <c r="A43" t="s">
        <v>290</v>
      </c>
      <c r="B43" s="2">
        <v>46032</v>
      </c>
      <c r="C43" t="s">
        <v>8</v>
      </c>
      <c r="D43" t="s">
        <v>13</v>
      </c>
      <c r="E43">
        <v>7</v>
      </c>
      <c r="F43" s="5">
        <v>53.22</v>
      </c>
      <c r="G43" s="5">
        <f>Table1[[#This Row],[Quantity]]*Table1[[#This Row],[Unit_Price]]</f>
        <v>372.53999999999996</v>
      </c>
      <c r="H43" t="s">
        <v>10</v>
      </c>
    </row>
    <row r="44" spans="1:8" hidden="1">
      <c r="A44" t="s">
        <v>190</v>
      </c>
      <c r="B44" s="2">
        <v>45668</v>
      </c>
      <c r="C44" t="s">
        <v>8</v>
      </c>
      <c r="D44" t="s">
        <v>27</v>
      </c>
      <c r="E44">
        <v>5</v>
      </c>
      <c r="F44" s="5">
        <v>180.54</v>
      </c>
      <c r="G44" s="5">
        <f>Table1[[#This Row],[Quantity]]*Table1[[#This Row],[Unit_Price]]</f>
        <v>902.69999999999993</v>
      </c>
      <c r="H44" t="s">
        <v>323</v>
      </c>
    </row>
    <row r="45" spans="1:8" hidden="1">
      <c r="A45" t="s">
        <v>228</v>
      </c>
      <c r="B45" s="2">
        <v>45851</v>
      </c>
      <c r="C45" t="s">
        <v>12</v>
      </c>
      <c r="D45" t="s">
        <v>9</v>
      </c>
      <c r="E45">
        <v>5</v>
      </c>
      <c r="F45" s="5">
        <v>12.32</v>
      </c>
      <c r="G45" s="5">
        <f>Table1[[#This Row],[Quantity]]*Table1[[#This Row],[Unit_Price]]</f>
        <v>61.6</v>
      </c>
      <c r="H45" t="s">
        <v>14</v>
      </c>
    </row>
    <row r="46" spans="1:8" hidden="1">
      <c r="A46" t="s">
        <v>265</v>
      </c>
      <c r="B46" s="2">
        <v>45976</v>
      </c>
      <c r="C46" t="s">
        <v>8</v>
      </c>
      <c r="D46" t="s">
        <v>9</v>
      </c>
      <c r="E46">
        <v>6</v>
      </c>
      <c r="F46" s="5">
        <v>26.62</v>
      </c>
      <c r="G46" s="5">
        <f>Table1[[#This Row],[Quantity]]*Table1[[#This Row],[Unit_Price]]</f>
        <v>159.72</v>
      </c>
      <c r="H46" t="s">
        <v>51</v>
      </c>
    </row>
    <row r="47" spans="1:8" hidden="1">
      <c r="A47" t="s">
        <v>63</v>
      </c>
      <c r="B47" s="2">
        <v>45720</v>
      </c>
      <c r="C47" t="s">
        <v>12</v>
      </c>
      <c r="D47" t="s">
        <v>27</v>
      </c>
      <c r="E47">
        <v>1</v>
      </c>
      <c r="F47" s="5">
        <v>345.15</v>
      </c>
      <c r="G47" s="5">
        <f>Table1[[#This Row],[Quantity]]*Table1[[#This Row],[Unit_Price]]</f>
        <v>345.15</v>
      </c>
      <c r="H47" t="s">
        <v>10</v>
      </c>
    </row>
    <row r="48" spans="1:8" hidden="1">
      <c r="A48" t="s">
        <v>227</v>
      </c>
      <c r="B48" s="2">
        <v>46134</v>
      </c>
      <c r="C48" t="s">
        <v>12</v>
      </c>
      <c r="D48" t="s">
        <v>323</v>
      </c>
      <c r="E48">
        <v>7</v>
      </c>
      <c r="F48" s="5">
        <v>10.7</v>
      </c>
      <c r="G48" s="5">
        <f>Table1[[#This Row],[Quantity]]*Table1[[#This Row],[Unit_Price]]</f>
        <v>74.899999999999991</v>
      </c>
      <c r="H48" t="s">
        <v>10</v>
      </c>
    </row>
    <row r="49" spans="1:8" hidden="1">
      <c r="A49" t="s">
        <v>276</v>
      </c>
      <c r="B49" s="2">
        <v>46076</v>
      </c>
      <c r="C49" t="s">
        <v>12</v>
      </c>
      <c r="D49" t="s">
        <v>38</v>
      </c>
      <c r="E49">
        <v>1</v>
      </c>
      <c r="F49" s="5">
        <v>128.38999999999999</v>
      </c>
      <c r="G49" s="5">
        <f>Table1[[#This Row],[Quantity]]*Table1[[#This Row],[Unit_Price]]</f>
        <v>128.38999999999999</v>
      </c>
      <c r="H49" t="s">
        <v>16</v>
      </c>
    </row>
    <row r="50" spans="1:8" hidden="1">
      <c r="A50" t="s">
        <v>229</v>
      </c>
      <c r="B50" s="2">
        <v>45715</v>
      </c>
      <c r="C50" t="s">
        <v>12</v>
      </c>
      <c r="D50" t="s">
        <v>9</v>
      </c>
      <c r="E50">
        <v>1</v>
      </c>
      <c r="F50" s="5">
        <v>20.85</v>
      </c>
      <c r="G50" s="5">
        <f>Table1[[#This Row],[Quantity]]*Table1[[#This Row],[Unit_Price]]</f>
        <v>20.85</v>
      </c>
      <c r="H50" t="s">
        <v>323</v>
      </c>
    </row>
    <row r="51" spans="1:8" hidden="1">
      <c r="A51" t="s">
        <v>114</v>
      </c>
      <c r="B51" s="2">
        <v>46018</v>
      </c>
      <c r="C51" t="s">
        <v>12</v>
      </c>
      <c r="D51" t="s">
        <v>19</v>
      </c>
      <c r="E51">
        <v>3</v>
      </c>
      <c r="F51" s="5">
        <v>6.17</v>
      </c>
      <c r="G51" s="5">
        <f>Table1[[#This Row],[Quantity]]*Table1[[#This Row],[Unit_Price]]</f>
        <v>18.509999999999998</v>
      </c>
      <c r="H51" t="s">
        <v>14</v>
      </c>
    </row>
    <row r="52" spans="1:8" hidden="1">
      <c r="A52" t="s">
        <v>259</v>
      </c>
      <c r="B52" s="2">
        <v>45740</v>
      </c>
      <c r="C52" t="s">
        <v>8</v>
      </c>
      <c r="D52" t="s">
        <v>13</v>
      </c>
      <c r="E52">
        <v>6</v>
      </c>
      <c r="F52" s="5">
        <v>32.770000000000003</v>
      </c>
      <c r="G52" s="5">
        <f>Table1[[#This Row],[Quantity]]*Table1[[#This Row],[Unit_Price]]</f>
        <v>196.62</v>
      </c>
      <c r="H52" t="s">
        <v>14</v>
      </c>
    </row>
    <row r="53" spans="1:8" hidden="1">
      <c r="A53" t="s">
        <v>156</v>
      </c>
      <c r="B53" s="2">
        <v>45749</v>
      </c>
      <c r="C53" t="s">
        <v>12</v>
      </c>
      <c r="D53" t="s">
        <v>27</v>
      </c>
      <c r="E53">
        <v>2</v>
      </c>
      <c r="F53" s="5">
        <v>266.16000000000003</v>
      </c>
      <c r="G53" s="5">
        <f>Table1[[#This Row],[Quantity]]*Table1[[#This Row],[Unit_Price]]</f>
        <v>532.32000000000005</v>
      </c>
      <c r="H53" t="s">
        <v>10</v>
      </c>
    </row>
    <row r="54" spans="1:8" hidden="1">
      <c r="A54" t="s">
        <v>76</v>
      </c>
      <c r="B54" s="2">
        <v>45903</v>
      </c>
      <c r="C54" t="s">
        <v>8</v>
      </c>
      <c r="D54" t="s">
        <v>38</v>
      </c>
      <c r="E54">
        <v>7</v>
      </c>
      <c r="F54" s="5">
        <v>54.61</v>
      </c>
      <c r="G54" s="5">
        <f>Table1[[#This Row],[Quantity]]*Table1[[#This Row],[Unit_Price]]</f>
        <v>382.27</v>
      </c>
      <c r="H54" t="s">
        <v>10</v>
      </c>
    </row>
    <row r="55" spans="1:8" hidden="1">
      <c r="A55" t="s">
        <v>214</v>
      </c>
      <c r="B55" s="2">
        <v>46022</v>
      </c>
      <c r="C55" t="s">
        <v>8</v>
      </c>
      <c r="D55" t="s">
        <v>13</v>
      </c>
      <c r="E55">
        <v>1</v>
      </c>
      <c r="F55" s="5">
        <v>63.75</v>
      </c>
      <c r="G55" s="5">
        <f>Table1[[#This Row],[Quantity]]*Table1[[#This Row],[Unit_Price]]</f>
        <v>63.75</v>
      </c>
      <c r="H55" t="s">
        <v>14</v>
      </c>
    </row>
    <row r="56" spans="1:8" hidden="1">
      <c r="A56" t="s">
        <v>261</v>
      </c>
      <c r="B56" s="2">
        <v>45993</v>
      </c>
      <c r="C56" t="s">
        <v>8</v>
      </c>
      <c r="D56" t="s">
        <v>27</v>
      </c>
      <c r="E56">
        <v>6</v>
      </c>
      <c r="F56" s="5">
        <v>265.89999999999998</v>
      </c>
      <c r="G56" s="5">
        <f>Table1[[#This Row],[Quantity]]*Table1[[#This Row],[Unit_Price]]</f>
        <v>1595.3999999999999</v>
      </c>
      <c r="H56" t="s">
        <v>23</v>
      </c>
    </row>
    <row r="57" spans="1:8" hidden="1">
      <c r="A57" t="s">
        <v>301</v>
      </c>
      <c r="B57" s="2">
        <v>46205</v>
      </c>
      <c r="C57" t="s">
        <v>12</v>
      </c>
      <c r="D57" t="s">
        <v>9</v>
      </c>
      <c r="E57">
        <v>8</v>
      </c>
      <c r="F57" s="5">
        <v>1008.97</v>
      </c>
      <c r="G57" s="5">
        <f>Table1[[#This Row],[Quantity]]*Table1[[#This Row],[Unit_Price]]</f>
        <v>8071.76</v>
      </c>
      <c r="H57" t="s">
        <v>16</v>
      </c>
    </row>
    <row r="58" spans="1:8" hidden="1">
      <c r="A58" t="s">
        <v>34</v>
      </c>
      <c r="B58" s="2">
        <v>45835</v>
      </c>
      <c r="C58" t="s">
        <v>8</v>
      </c>
      <c r="D58" t="s">
        <v>19</v>
      </c>
      <c r="E58">
        <v>6</v>
      </c>
      <c r="F58" s="5">
        <v>7.75</v>
      </c>
      <c r="G58" s="5">
        <f>Table1[[#This Row],[Quantity]]*Table1[[#This Row],[Unit_Price]]</f>
        <v>46.5</v>
      </c>
      <c r="H58" t="s">
        <v>323</v>
      </c>
    </row>
    <row r="59" spans="1:8" hidden="1">
      <c r="A59" t="s">
        <v>208</v>
      </c>
      <c r="B59" s="2">
        <v>45925</v>
      </c>
      <c r="C59" t="s">
        <v>8</v>
      </c>
      <c r="D59" t="s">
        <v>13</v>
      </c>
      <c r="E59">
        <v>5</v>
      </c>
      <c r="F59" s="5">
        <v>47.62</v>
      </c>
      <c r="G59" s="5">
        <f>Table1[[#This Row],[Quantity]]*Table1[[#This Row],[Unit_Price]]</f>
        <v>238.1</v>
      </c>
      <c r="H59" t="s">
        <v>10</v>
      </c>
    </row>
    <row r="60" spans="1:8" hidden="1">
      <c r="A60" t="s">
        <v>41</v>
      </c>
      <c r="B60" s="2">
        <v>46205</v>
      </c>
      <c r="C60" t="s">
        <v>12</v>
      </c>
      <c r="D60" t="s">
        <v>13</v>
      </c>
      <c r="E60">
        <v>5</v>
      </c>
      <c r="F60" s="5">
        <v>28.03</v>
      </c>
      <c r="G60" s="5">
        <f>Table1[[#This Row],[Quantity]]*Table1[[#This Row],[Unit_Price]]</f>
        <v>140.15</v>
      </c>
      <c r="H60" t="s">
        <v>14</v>
      </c>
    </row>
    <row r="61" spans="1:8" hidden="1">
      <c r="A61" t="s">
        <v>288</v>
      </c>
      <c r="B61" s="2">
        <v>45937</v>
      </c>
      <c r="C61" t="s">
        <v>12</v>
      </c>
      <c r="D61" t="s">
        <v>9</v>
      </c>
      <c r="E61">
        <v>8</v>
      </c>
      <c r="F61" s="5">
        <v>16.79</v>
      </c>
      <c r="G61" s="5">
        <f>Table1[[#This Row],[Quantity]]*Table1[[#This Row],[Unit_Price]]</f>
        <v>134.32</v>
      </c>
      <c r="H61" t="s">
        <v>33</v>
      </c>
    </row>
    <row r="62" spans="1:8" hidden="1">
      <c r="A62" t="s">
        <v>285</v>
      </c>
      <c r="B62" s="2">
        <v>46171</v>
      </c>
      <c r="C62" t="s">
        <v>8</v>
      </c>
      <c r="D62" t="s">
        <v>13</v>
      </c>
      <c r="E62">
        <v>5</v>
      </c>
      <c r="F62" s="5">
        <v>67.28</v>
      </c>
      <c r="G62" s="5">
        <f>Table1[[#This Row],[Quantity]]*Table1[[#This Row],[Unit_Price]]</f>
        <v>336.4</v>
      </c>
      <c r="H62" t="s">
        <v>10</v>
      </c>
    </row>
    <row r="63" spans="1:8">
      <c r="A63" t="s">
        <v>210</v>
      </c>
      <c r="B63" s="2">
        <v>73050</v>
      </c>
      <c r="C63" t="s">
        <v>8</v>
      </c>
      <c r="D63" t="s">
        <v>27</v>
      </c>
      <c r="E63">
        <v>7</v>
      </c>
      <c r="F63" s="5">
        <v>253.2</v>
      </c>
      <c r="G63" s="5">
        <f>Table1[[#This Row],[Quantity]]*Table1[[#This Row],[Unit_Price]]</f>
        <v>1772.3999999999999</v>
      </c>
      <c r="H63" t="s">
        <v>10</v>
      </c>
    </row>
    <row r="64" spans="1:8" hidden="1">
      <c r="A64" t="s">
        <v>195</v>
      </c>
      <c r="B64" s="2">
        <v>45923</v>
      </c>
      <c r="C64" t="s">
        <v>8</v>
      </c>
      <c r="D64" t="s">
        <v>27</v>
      </c>
      <c r="E64">
        <v>3</v>
      </c>
      <c r="F64" s="5">
        <v>199.14</v>
      </c>
      <c r="G64" s="5">
        <f>Table1[[#This Row],[Quantity]]*Table1[[#This Row],[Unit_Price]]</f>
        <v>597.41999999999996</v>
      </c>
      <c r="H64" t="s">
        <v>16</v>
      </c>
    </row>
    <row r="65" spans="1:8" hidden="1">
      <c r="A65" t="s">
        <v>257</v>
      </c>
      <c r="B65" s="2">
        <v>45762</v>
      </c>
      <c r="C65" t="s">
        <v>12</v>
      </c>
      <c r="D65" t="s">
        <v>9</v>
      </c>
      <c r="E65">
        <v>6</v>
      </c>
      <c r="F65" s="5">
        <v>13.68</v>
      </c>
      <c r="G65" s="5">
        <f>Table1[[#This Row],[Quantity]]*Table1[[#This Row],[Unit_Price]]</f>
        <v>82.08</v>
      </c>
      <c r="H65" t="s">
        <v>10</v>
      </c>
    </row>
    <row r="66" spans="1:8" hidden="1">
      <c r="A66" t="s">
        <v>181</v>
      </c>
      <c r="B66" s="2">
        <v>46099</v>
      </c>
      <c r="C66" t="s">
        <v>8</v>
      </c>
      <c r="D66" t="s">
        <v>19</v>
      </c>
      <c r="E66">
        <v>5</v>
      </c>
      <c r="F66" s="5">
        <v>10.32</v>
      </c>
      <c r="G66" s="5">
        <f>Table1[[#This Row],[Quantity]]*Table1[[#This Row],[Unit_Price]]</f>
        <v>51.6</v>
      </c>
      <c r="H66" t="s">
        <v>10</v>
      </c>
    </row>
    <row r="67" spans="1:8" hidden="1">
      <c r="A67" t="s">
        <v>92</v>
      </c>
      <c r="B67" s="2">
        <v>46035</v>
      </c>
      <c r="C67" t="s">
        <v>8</v>
      </c>
      <c r="D67" t="s">
        <v>9</v>
      </c>
      <c r="E67">
        <v>4</v>
      </c>
      <c r="F67" s="5">
        <v>21.02</v>
      </c>
      <c r="G67" s="5">
        <f>Table1[[#This Row],[Quantity]]*Table1[[#This Row],[Unit_Price]]</f>
        <v>84.08</v>
      </c>
      <c r="H67" t="s">
        <v>23</v>
      </c>
    </row>
    <row r="68" spans="1:8" hidden="1">
      <c r="A68" t="s">
        <v>150</v>
      </c>
      <c r="B68" s="2">
        <v>46091</v>
      </c>
      <c r="C68" t="s">
        <v>12</v>
      </c>
      <c r="D68" t="s">
        <v>323</v>
      </c>
      <c r="E68">
        <v>2</v>
      </c>
      <c r="F68" s="5">
        <v>64.44</v>
      </c>
      <c r="G68" s="5">
        <f>Table1[[#This Row],[Quantity]]*Table1[[#This Row],[Unit_Price]]</f>
        <v>128.88</v>
      </c>
      <c r="H68" t="s">
        <v>16</v>
      </c>
    </row>
    <row r="69" spans="1:8" hidden="1">
      <c r="A69" t="s">
        <v>253</v>
      </c>
      <c r="B69" s="2">
        <v>45889</v>
      </c>
      <c r="C69" t="s">
        <v>8</v>
      </c>
      <c r="D69" t="s">
        <v>9</v>
      </c>
      <c r="E69">
        <v>8</v>
      </c>
      <c r="F69" s="5">
        <v>21.72</v>
      </c>
      <c r="G69" s="5">
        <f>Table1[[#This Row],[Quantity]]*Table1[[#This Row],[Unit_Price]]</f>
        <v>173.76</v>
      </c>
      <c r="H69" t="s">
        <v>14</v>
      </c>
    </row>
    <row r="70" spans="1:8" hidden="1">
      <c r="A70" t="s">
        <v>26</v>
      </c>
      <c r="B70" s="2">
        <v>45985</v>
      </c>
      <c r="C70" t="s">
        <v>12</v>
      </c>
      <c r="D70" t="s">
        <v>27</v>
      </c>
      <c r="E70">
        <v>8</v>
      </c>
      <c r="F70" s="5">
        <v>245.1</v>
      </c>
      <c r="G70" s="5">
        <f>Table1[[#This Row],[Quantity]]*Table1[[#This Row],[Unit_Price]]</f>
        <v>1960.8</v>
      </c>
      <c r="H70" t="s">
        <v>14</v>
      </c>
    </row>
    <row r="71" spans="1:8" hidden="1">
      <c r="A71" t="s">
        <v>221</v>
      </c>
      <c r="B71" s="2">
        <v>46179</v>
      </c>
      <c r="C71" t="s">
        <v>8</v>
      </c>
      <c r="D71" t="s">
        <v>19</v>
      </c>
      <c r="E71">
        <v>5</v>
      </c>
      <c r="F71" s="5">
        <v>8.39</v>
      </c>
      <c r="G71" s="5">
        <f>Table1[[#This Row],[Quantity]]*Table1[[#This Row],[Unit_Price]]</f>
        <v>41.95</v>
      </c>
      <c r="H71" t="s">
        <v>23</v>
      </c>
    </row>
    <row r="72" spans="1:8">
      <c r="A72" t="s">
        <v>48</v>
      </c>
      <c r="B72" s="2">
        <v>73050</v>
      </c>
      <c r="C72" t="s">
        <v>12</v>
      </c>
      <c r="D72" t="s">
        <v>27</v>
      </c>
      <c r="E72">
        <v>5</v>
      </c>
      <c r="F72" s="5">
        <v>235.34</v>
      </c>
      <c r="G72" s="5">
        <f>Table1[[#This Row],[Quantity]]*Table1[[#This Row],[Unit_Price]]</f>
        <v>1176.7</v>
      </c>
      <c r="H72" t="s">
        <v>10</v>
      </c>
    </row>
    <row r="73" spans="1:8" hidden="1">
      <c r="A73" t="s">
        <v>101</v>
      </c>
      <c r="B73" s="2">
        <v>45806</v>
      </c>
      <c r="C73" t="s">
        <v>8</v>
      </c>
      <c r="D73" t="s">
        <v>323</v>
      </c>
      <c r="E73">
        <v>4</v>
      </c>
      <c r="F73" s="5">
        <v>60.52</v>
      </c>
      <c r="G73" s="5">
        <f>Table1[[#This Row],[Quantity]]*Table1[[#This Row],[Unit_Price]]</f>
        <v>242.08</v>
      </c>
      <c r="H73" t="s">
        <v>33</v>
      </c>
    </row>
    <row r="74" spans="1:8" hidden="1">
      <c r="A74" t="s">
        <v>89</v>
      </c>
      <c r="B74" s="2">
        <v>46083</v>
      </c>
      <c r="C74" t="s">
        <v>12</v>
      </c>
      <c r="D74" t="s">
        <v>13</v>
      </c>
      <c r="E74">
        <v>7</v>
      </c>
      <c r="F74" s="5">
        <v>28.52</v>
      </c>
      <c r="G74" s="5">
        <f>Table1[[#This Row],[Quantity]]*Table1[[#This Row],[Unit_Price]]</f>
        <v>199.64</v>
      </c>
      <c r="H74" t="s">
        <v>10</v>
      </c>
    </row>
    <row r="75" spans="1:8">
      <c r="A75" t="s">
        <v>136</v>
      </c>
      <c r="B75" s="2">
        <v>73050</v>
      </c>
      <c r="C75" t="s">
        <v>12</v>
      </c>
      <c r="D75" t="s">
        <v>13</v>
      </c>
      <c r="E75">
        <v>6</v>
      </c>
      <c r="F75" s="5">
        <v>43.97</v>
      </c>
      <c r="G75" s="5">
        <f>Table1[[#This Row],[Quantity]]*Table1[[#This Row],[Unit_Price]]</f>
        <v>263.82</v>
      </c>
      <c r="H75" t="s">
        <v>51</v>
      </c>
    </row>
    <row r="76" spans="1:8" hidden="1">
      <c r="A76" t="s">
        <v>157</v>
      </c>
      <c r="B76" s="2">
        <v>45958</v>
      </c>
      <c r="C76" t="s">
        <v>8</v>
      </c>
      <c r="D76" t="s">
        <v>9</v>
      </c>
      <c r="E76">
        <v>6</v>
      </c>
      <c r="F76" s="5">
        <v>20.92</v>
      </c>
      <c r="G76" s="5">
        <f>Table1[[#This Row],[Quantity]]*Table1[[#This Row],[Unit_Price]]</f>
        <v>125.52000000000001</v>
      </c>
      <c r="H76" t="s">
        <v>10</v>
      </c>
    </row>
    <row r="77" spans="1:8" hidden="1">
      <c r="A77" t="s">
        <v>266</v>
      </c>
      <c r="B77" s="2">
        <v>45937</v>
      </c>
      <c r="C77" t="s">
        <v>12</v>
      </c>
      <c r="D77" t="s">
        <v>38</v>
      </c>
      <c r="E77">
        <v>5</v>
      </c>
      <c r="F77" s="5">
        <v>113.84</v>
      </c>
      <c r="G77" s="5">
        <f>Table1[[#This Row],[Quantity]]*Table1[[#This Row],[Unit_Price]]</f>
        <v>569.20000000000005</v>
      </c>
      <c r="H77" t="s">
        <v>14</v>
      </c>
    </row>
    <row r="78" spans="1:8" hidden="1">
      <c r="A78" t="s">
        <v>234</v>
      </c>
      <c r="B78" s="2">
        <v>45952</v>
      </c>
      <c r="C78" t="s">
        <v>12</v>
      </c>
      <c r="D78" t="s">
        <v>27</v>
      </c>
      <c r="E78">
        <v>8</v>
      </c>
      <c r="F78" s="5">
        <v>332.65</v>
      </c>
      <c r="G78" s="5">
        <f>Table1[[#This Row],[Quantity]]*Table1[[#This Row],[Unit_Price]]</f>
        <v>2661.2</v>
      </c>
      <c r="H78" t="s">
        <v>16</v>
      </c>
    </row>
    <row r="79" spans="1:8" hidden="1">
      <c r="A79" t="s">
        <v>295</v>
      </c>
      <c r="B79" s="2">
        <v>45883</v>
      </c>
      <c r="C79" t="s">
        <v>12</v>
      </c>
      <c r="D79" t="s">
        <v>27</v>
      </c>
      <c r="E79">
        <v>8</v>
      </c>
      <c r="F79" s="5">
        <v>129.69</v>
      </c>
      <c r="G79" s="5">
        <f>Table1[[#This Row],[Quantity]]*Table1[[#This Row],[Unit_Price]]</f>
        <v>1037.52</v>
      </c>
      <c r="H79" t="s">
        <v>10</v>
      </c>
    </row>
    <row r="80" spans="1:8" hidden="1">
      <c r="A80" t="s">
        <v>60</v>
      </c>
      <c r="B80" s="2">
        <v>45932</v>
      </c>
      <c r="C80" t="s">
        <v>12</v>
      </c>
      <c r="D80" t="s">
        <v>13</v>
      </c>
      <c r="E80">
        <v>4</v>
      </c>
      <c r="F80" s="5">
        <v>47.8</v>
      </c>
      <c r="G80" s="5">
        <f>Table1[[#This Row],[Quantity]]*Table1[[#This Row],[Unit_Price]]</f>
        <v>191.2</v>
      </c>
      <c r="H80" t="s">
        <v>10</v>
      </c>
    </row>
    <row r="81" spans="1:8" hidden="1">
      <c r="A81" t="s">
        <v>79</v>
      </c>
      <c r="B81" s="2">
        <v>45844</v>
      </c>
      <c r="C81" t="s">
        <v>12</v>
      </c>
      <c r="D81" t="s">
        <v>9</v>
      </c>
      <c r="E81">
        <v>4</v>
      </c>
      <c r="F81" s="5">
        <v>21.71</v>
      </c>
      <c r="G81" s="5">
        <f>Table1[[#This Row],[Quantity]]*Table1[[#This Row],[Unit_Price]]</f>
        <v>86.84</v>
      </c>
      <c r="H81" t="s">
        <v>16</v>
      </c>
    </row>
    <row r="82" spans="1:8" hidden="1">
      <c r="A82" t="s">
        <v>267</v>
      </c>
      <c r="B82" s="2">
        <v>45882</v>
      </c>
      <c r="C82" t="s">
        <v>12</v>
      </c>
      <c r="D82" t="s">
        <v>13</v>
      </c>
      <c r="E82">
        <v>3</v>
      </c>
      <c r="F82" s="5">
        <v>65.849999999999994</v>
      </c>
      <c r="G82" s="5">
        <f>Table1[[#This Row],[Quantity]]*Table1[[#This Row],[Unit_Price]]</f>
        <v>197.54999999999998</v>
      </c>
      <c r="H82" t="s">
        <v>10</v>
      </c>
    </row>
    <row r="83" spans="1:8" hidden="1">
      <c r="A83" t="s">
        <v>117</v>
      </c>
      <c r="B83" s="2">
        <v>46135</v>
      </c>
      <c r="C83" t="s">
        <v>12</v>
      </c>
      <c r="D83" t="s">
        <v>13</v>
      </c>
      <c r="E83">
        <v>5</v>
      </c>
      <c r="F83" s="5">
        <v>68.87</v>
      </c>
      <c r="G83" s="5">
        <f>Table1[[#This Row],[Quantity]]*Table1[[#This Row],[Unit_Price]]</f>
        <v>344.35</v>
      </c>
      <c r="H83" t="s">
        <v>10</v>
      </c>
    </row>
    <row r="84" spans="1:8" hidden="1">
      <c r="A84" t="s">
        <v>87</v>
      </c>
      <c r="B84" s="2">
        <v>45870</v>
      </c>
      <c r="C84" t="s">
        <v>12</v>
      </c>
      <c r="D84" t="s">
        <v>27</v>
      </c>
      <c r="E84">
        <v>1</v>
      </c>
      <c r="F84" s="5">
        <v>144.02000000000001</v>
      </c>
      <c r="G84" s="5">
        <f>Table1[[#This Row],[Quantity]]*Table1[[#This Row],[Unit_Price]]</f>
        <v>144.02000000000001</v>
      </c>
      <c r="H84" t="s">
        <v>10</v>
      </c>
    </row>
    <row r="85" spans="1:8" hidden="1">
      <c r="A85" t="s">
        <v>98</v>
      </c>
      <c r="B85" s="2">
        <v>45794</v>
      </c>
      <c r="C85" t="s">
        <v>12</v>
      </c>
      <c r="D85" t="s">
        <v>9</v>
      </c>
      <c r="E85">
        <v>4</v>
      </c>
      <c r="F85" s="5">
        <v>19.059999999999999</v>
      </c>
      <c r="G85" s="5">
        <f>Table1[[#This Row],[Quantity]]*Table1[[#This Row],[Unit_Price]]</f>
        <v>76.239999999999995</v>
      </c>
      <c r="H85" t="s">
        <v>10</v>
      </c>
    </row>
    <row r="86" spans="1:8" hidden="1">
      <c r="A86" t="s">
        <v>140</v>
      </c>
      <c r="B86" s="2">
        <v>46085</v>
      </c>
      <c r="C86" t="s">
        <v>8</v>
      </c>
      <c r="D86" t="s">
        <v>27</v>
      </c>
      <c r="E86">
        <v>8</v>
      </c>
      <c r="F86" s="5">
        <v>272.25</v>
      </c>
      <c r="G86" s="5">
        <f>Table1[[#This Row],[Quantity]]*Table1[[#This Row],[Unit_Price]]</f>
        <v>2178</v>
      </c>
      <c r="H86" t="s">
        <v>323</v>
      </c>
    </row>
    <row r="87" spans="1:8" hidden="1">
      <c r="A87" t="s">
        <v>191</v>
      </c>
      <c r="B87" s="2">
        <v>45785</v>
      </c>
      <c r="C87" t="s">
        <v>8</v>
      </c>
      <c r="D87" t="s">
        <v>38</v>
      </c>
      <c r="E87">
        <v>1</v>
      </c>
      <c r="F87" s="5">
        <v>117.2</v>
      </c>
      <c r="G87" s="5">
        <f>Table1[[#This Row],[Quantity]]*Table1[[#This Row],[Unit_Price]]</f>
        <v>117.2</v>
      </c>
      <c r="H87" t="s">
        <v>23</v>
      </c>
    </row>
    <row r="88" spans="1:8" hidden="1">
      <c r="A88" t="s">
        <v>158</v>
      </c>
      <c r="B88" s="2">
        <v>45824</v>
      </c>
      <c r="C88" t="s">
        <v>8</v>
      </c>
      <c r="D88" t="s">
        <v>13</v>
      </c>
      <c r="E88">
        <v>1</v>
      </c>
      <c r="F88" s="5">
        <v>41.97</v>
      </c>
      <c r="G88" s="5">
        <f>Table1[[#This Row],[Quantity]]*Table1[[#This Row],[Unit_Price]]</f>
        <v>41.97</v>
      </c>
      <c r="H88" t="s">
        <v>16</v>
      </c>
    </row>
    <row r="89" spans="1:8" hidden="1">
      <c r="A89" t="s">
        <v>61</v>
      </c>
      <c r="B89" s="2">
        <v>46082</v>
      </c>
      <c r="C89" t="s">
        <v>8</v>
      </c>
      <c r="D89" t="s">
        <v>19</v>
      </c>
      <c r="E89">
        <v>4</v>
      </c>
      <c r="F89" s="5">
        <v>6.56</v>
      </c>
      <c r="G89" s="5">
        <f>Table1[[#This Row],[Quantity]]*Table1[[#This Row],[Unit_Price]]</f>
        <v>26.24</v>
      </c>
      <c r="H89" t="s">
        <v>14</v>
      </c>
    </row>
    <row r="90" spans="1:8" hidden="1">
      <c r="A90" t="s">
        <v>126</v>
      </c>
      <c r="B90" s="2">
        <v>45683</v>
      </c>
      <c r="C90" t="s">
        <v>12</v>
      </c>
      <c r="D90" t="s">
        <v>13</v>
      </c>
      <c r="E90">
        <v>5</v>
      </c>
      <c r="F90" s="5">
        <v>42.76</v>
      </c>
      <c r="G90" s="5">
        <f>Table1[[#This Row],[Quantity]]*Table1[[#This Row],[Unit_Price]]</f>
        <v>213.79999999999998</v>
      </c>
      <c r="H90" t="s">
        <v>10</v>
      </c>
    </row>
    <row r="91" spans="1:8" hidden="1">
      <c r="A91" t="s">
        <v>185</v>
      </c>
      <c r="B91" s="2">
        <v>45790</v>
      </c>
      <c r="C91" t="s">
        <v>12</v>
      </c>
      <c r="D91" t="s">
        <v>13</v>
      </c>
      <c r="E91">
        <v>8</v>
      </c>
      <c r="F91" s="5">
        <v>62.45</v>
      </c>
      <c r="G91" s="5">
        <f>Table1[[#This Row],[Quantity]]*Table1[[#This Row],[Unit_Price]]</f>
        <v>499.6</v>
      </c>
      <c r="H91" t="s">
        <v>323</v>
      </c>
    </row>
    <row r="92" spans="1:8" hidden="1">
      <c r="A92" t="s">
        <v>278</v>
      </c>
      <c r="B92" s="2">
        <v>46011</v>
      </c>
      <c r="C92" t="s">
        <v>8</v>
      </c>
      <c r="D92" t="s">
        <v>38</v>
      </c>
      <c r="E92">
        <v>2</v>
      </c>
      <c r="F92" s="5">
        <v>68.16</v>
      </c>
      <c r="G92" s="5">
        <f>Table1[[#This Row],[Quantity]]*Table1[[#This Row],[Unit_Price]]</f>
        <v>136.32</v>
      </c>
      <c r="H92" t="s">
        <v>23</v>
      </c>
    </row>
    <row r="93" spans="1:8" hidden="1">
      <c r="A93" t="s">
        <v>133</v>
      </c>
      <c r="B93" s="2">
        <v>45704</v>
      </c>
      <c r="C93" t="s">
        <v>12</v>
      </c>
      <c r="D93" t="s">
        <v>38</v>
      </c>
      <c r="E93">
        <v>4</v>
      </c>
      <c r="F93" s="5">
        <v>70.97</v>
      </c>
      <c r="G93" s="5">
        <f>Table1[[#This Row],[Quantity]]*Table1[[#This Row],[Unit_Price]]</f>
        <v>283.88</v>
      </c>
      <c r="H93" t="s">
        <v>23</v>
      </c>
    </row>
    <row r="94" spans="1:8" hidden="1">
      <c r="A94" t="s">
        <v>116</v>
      </c>
      <c r="B94" s="2">
        <v>45953</v>
      </c>
      <c r="C94" t="s">
        <v>8</v>
      </c>
      <c r="D94" t="s">
        <v>9</v>
      </c>
      <c r="E94">
        <v>6</v>
      </c>
      <c r="F94" s="5">
        <v>25.06</v>
      </c>
      <c r="G94" s="5">
        <f>Table1[[#This Row],[Quantity]]*Table1[[#This Row],[Unit_Price]]</f>
        <v>150.35999999999999</v>
      </c>
      <c r="H94" t="s">
        <v>51</v>
      </c>
    </row>
    <row r="95" spans="1:8" hidden="1">
      <c r="A95" t="s">
        <v>296</v>
      </c>
      <c r="B95" s="2">
        <v>46154</v>
      </c>
      <c r="C95" t="s">
        <v>12</v>
      </c>
      <c r="D95" t="s">
        <v>13</v>
      </c>
      <c r="E95">
        <v>4</v>
      </c>
      <c r="F95" s="5">
        <v>48.88</v>
      </c>
      <c r="G95" s="5">
        <f>Table1[[#This Row],[Quantity]]*Table1[[#This Row],[Unit_Price]]</f>
        <v>195.52</v>
      </c>
      <c r="H95" t="s">
        <v>33</v>
      </c>
    </row>
    <row r="96" spans="1:8" hidden="1">
      <c r="A96" t="s">
        <v>146</v>
      </c>
      <c r="B96" s="2">
        <v>46137</v>
      </c>
      <c r="C96" t="s">
        <v>8</v>
      </c>
      <c r="D96" t="s">
        <v>27</v>
      </c>
      <c r="E96">
        <v>7</v>
      </c>
      <c r="F96" s="5">
        <v>344.08</v>
      </c>
      <c r="G96" s="5">
        <f>Table1[[#This Row],[Quantity]]*Table1[[#This Row],[Unit_Price]]</f>
        <v>2408.56</v>
      </c>
      <c r="H96" t="s">
        <v>10</v>
      </c>
    </row>
    <row r="97" spans="1:8" hidden="1">
      <c r="A97" t="s">
        <v>24</v>
      </c>
      <c r="B97" s="2">
        <v>45747</v>
      </c>
      <c r="C97" t="s">
        <v>12</v>
      </c>
      <c r="D97" t="s">
        <v>13</v>
      </c>
      <c r="E97">
        <v>5</v>
      </c>
      <c r="F97" s="5">
        <v>37.11</v>
      </c>
      <c r="G97" s="5">
        <f>Table1[[#This Row],[Quantity]]*Table1[[#This Row],[Unit_Price]]</f>
        <v>185.55</v>
      </c>
      <c r="H97" t="s">
        <v>10</v>
      </c>
    </row>
    <row r="98" spans="1:8" hidden="1">
      <c r="A98" t="s">
        <v>209</v>
      </c>
      <c r="B98" s="2">
        <v>46149</v>
      </c>
      <c r="C98" t="s">
        <v>8</v>
      </c>
      <c r="D98" t="s">
        <v>13</v>
      </c>
      <c r="E98">
        <v>1</v>
      </c>
      <c r="F98" s="5">
        <v>33.549999999999997</v>
      </c>
      <c r="G98" s="5">
        <f>Table1[[#This Row],[Quantity]]*Table1[[#This Row],[Unit_Price]]</f>
        <v>33.549999999999997</v>
      </c>
      <c r="H98" t="s">
        <v>33</v>
      </c>
    </row>
    <row r="99" spans="1:8" hidden="1">
      <c r="A99" t="s">
        <v>32</v>
      </c>
      <c r="B99" s="2">
        <v>45978</v>
      </c>
      <c r="C99" t="s">
        <v>12</v>
      </c>
      <c r="D99" t="s">
        <v>19</v>
      </c>
      <c r="E99">
        <v>2</v>
      </c>
      <c r="F99" s="5">
        <v>12.08</v>
      </c>
      <c r="G99" s="5">
        <f>Table1[[#This Row],[Quantity]]*Table1[[#This Row],[Unit_Price]]</f>
        <v>24.16</v>
      </c>
      <c r="H99" t="s">
        <v>33</v>
      </c>
    </row>
    <row r="100" spans="1:8" hidden="1">
      <c r="A100" t="s">
        <v>258</v>
      </c>
      <c r="B100" s="2">
        <v>46208</v>
      </c>
      <c r="C100" t="s">
        <v>12</v>
      </c>
      <c r="D100" t="s">
        <v>9</v>
      </c>
      <c r="E100">
        <v>3</v>
      </c>
      <c r="F100" s="5">
        <v>1008.97</v>
      </c>
      <c r="G100" s="5">
        <f>Table1[[#This Row],[Quantity]]*Table1[[#This Row],[Unit_Price]]</f>
        <v>3026.91</v>
      </c>
      <c r="H100" t="s">
        <v>14</v>
      </c>
    </row>
    <row r="101" spans="1:8" hidden="1">
      <c r="A101" t="s">
        <v>251</v>
      </c>
      <c r="B101" s="2">
        <v>46061</v>
      </c>
      <c r="C101" t="s">
        <v>12</v>
      </c>
      <c r="D101" t="s">
        <v>9</v>
      </c>
      <c r="E101">
        <v>8</v>
      </c>
      <c r="F101" s="5">
        <v>23.29</v>
      </c>
      <c r="G101" s="5">
        <f>Table1[[#This Row],[Quantity]]*Table1[[#This Row],[Unit_Price]]</f>
        <v>186.32</v>
      </c>
      <c r="H101" t="s">
        <v>51</v>
      </c>
    </row>
    <row r="102" spans="1:8">
      <c r="A102" t="s">
        <v>192</v>
      </c>
      <c r="B102" s="2">
        <v>73050</v>
      </c>
      <c r="C102" t="s">
        <v>8</v>
      </c>
      <c r="D102" t="s">
        <v>38</v>
      </c>
      <c r="E102">
        <v>1</v>
      </c>
      <c r="F102" s="5">
        <v>52.75</v>
      </c>
      <c r="G102" s="5">
        <f>Table1[[#This Row],[Quantity]]*Table1[[#This Row],[Unit_Price]]</f>
        <v>52.75</v>
      </c>
      <c r="H102" t="s">
        <v>23</v>
      </c>
    </row>
    <row r="103" spans="1:8" hidden="1">
      <c r="A103" t="s">
        <v>204</v>
      </c>
      <c r="B103" s="2">
        <v>45774</v>
      </c>
      <c r="C103" t="s">
        <v>12</v>
      </c>
      <c r="D103" t="s">
        <v>27</v>
      </c>
      <c r="E103">
        <v>1</v>
      </c>
      <c r="F103" s="5">
        <v>239.6</v>
      </c>
      <c r="G103" s="5">
        <f>Table1[[#This Row],[Quantity]]*Table1[[#This Row],[Unit_Price]]</f>
        <v>239.6</v>
      </c>
      <c r="H103" t="s">
        <v>23</v>
      </c>
    </row>
    <row r="104" spans="1:8" hidden="1">
      <c r="A104" t="s">
        <v>206</v>
      </c>
      <c r="B104" s="2">
        <v>45832</v>
      </c>
      <c r="C104" t="s">
        <v>12</v>
      </c>
      <c r="D104" t="s">
        <v>13</v>
      </c>
      <c r="E104">
        <v>3</v>
      </c>
      <c r="F104" s="5">
        <v>46.32</v>
      </c>
      <c r="G104" s="5">
        <f>Table1[[#This Row],[Quantity]]*Table1[[#This Row],[Unit_Price]]</f>
        <v>138.96</v>
      </c>
      <c r="H104" t="s">
        <v>51</v>
      </c>
    </row>
    <row r="105" spans="1:8" hidden="1">
      <c r="A105" t="s">
        <v>183</v>
      </c>
      <c r="B105" s="2">
        <v>45783</v>
      </c>
      <c r="C105" t="s">
        <v>12</v>
      </c>
      <c r="D105" t="s">
        <v>13</v>
      </c>
      <c r="E105">
        <v>3</v>
      </c>
      <c r="F105" s="5">
        <v>54.06</v>
      </c>
      <c r="G105" s="5">
        <f>Table1[[#This Row],[Quantity]]*Table1[[#This Row],[Unit_Price]]</f>
        <v>162.18</v>
      </c>
      <c r="H105" t="s">
        <v>10</v>
      </c>
    </row>
    <row r="106" spans="1:8" hidden="1">
      <c r="A106" t="s">
        <v>78</v>
      </c>
      <c r="B106" s="2">
        <v>46050</v>
      </c>
      <c r="C106" t="s">
        <v>8</v>
      </c>
      <c r="D106" t="s">
        <v>27</v>
      </c>
      <c r="E106">
        <v>6</v>
      </c>
      <c r="F106" s="5">
        <v>1008.97</v>
      </c>
      <c r="G106" s="5">
        <f>Table1[[#This Row],[Quantity]]*Table1[[#This Row],[Unit_Price]]</f>
        <v>6053.82</v>
      </c>
      <c r="H106" t="s">
        <v>323</v>
      </c>
    </row>
    <row r="107" spans="1:8" hidden="1">
      <c r="A107" t="s">
        <v>103</v>
      </c>
      <c r="B107" s="2">
        <v>45697</v>
      </c>
      <c r="C107" t="s">
        <v>12</v>
      </c>
      <c r="D107" t="s">
        <v>27</v>
      </c>
      <c r="E107">
        <v>2</v>
      </c>
      <c r="F107" s="5">
        <v>206.18</v>
      </c>
      <c r="G107" s="5">
        <f>Table1[[#This Row],[Quantity]]*Table1[[#This Row],[Unit_Price]]</f>
        <v>412.36</v>
      </c>
      <c r="H107" t="s">
        <v>14</v>
      </c>
    </row>
    <row r="108" spans="1:8" hidden="1">
      <c r="A108" t="s">
        <v>171</v>
      </c>
      <c r="B108" s="2">
        <v>45969</v>
      </c>
      <c r="C108" t="s">
        <v>12</v>
      </c>
      <c r="D108" t="s">
        <v>19</v>
      </c>
      <c r="E108">
        <v>8</v>
      </c>
      <c r="F108" s="5">
        <v>12.76</v>
      </c>
      <c r="G108" s="5">
        <f>Table1[[#This Row],[Quantity]]*Table1[[#This Row],[Unit_Price]]</f>
        <v>102.08</v>
      </c>
      <c r="H108" t="s">
        <v>33</v>
      </c>
    </row>
    <row r="109" spans="1:8" hidden="1">
      <c r="A109" t="s">
        <v>179</v>
      </c>
      <c r="B109" s="2">
        <v>45750</v>
      </c>
      <c r="C109" t="s">
        <v>8</v>
      </c>
      <c r="D109" t="s">
        <v>9</v>
      </c>
      <c r="E109">
        <v>1</v>
      </c>
      <c r="F109" s="5">
        <v>16.510000000000002</v>
      </c>
      <c r="G109" s="5">
        <f>Table1[[#This Row],[Quantity]]*Table1[[#This Row],[Unit_Price]]</f>
        <v>16.510000000000002</v>
      </c>
      <c r="H109" t="s">
        <v>14</v>
      </c>
    </row>
    <row r="110" spans="1:8" hidden="1">
      <c r="A110" t="s">
        <v>223</v>
      </c>
      <c r="B110" s="2">
        <v>46170</v>
      </c>
      <c r="C110" t="s">
        <v>12</v>
      </c>
      <c r="D110" t="s">
        <v>9</v>
      </c>
      <c r="E110">
        <v>4</v>
      </c>
      <c r="F110" s="5">
        <v>28.19</v>
      </c>
      <c r="G110" s="5">
        <f>Table1[[#This Row],[Quantity]]*Table1[[#This Row],[Unit_Price]]</f>
        <v>112.76</v>
      </c>
      <c r="H110" t="s">
        <v>10</v>
      </c>
    </row>
    <row r="111" spans="1:8" hidden="1">
      <c r="A111" t="s">
        <v>160</v>
      </c>
      <c r="B111" s="2">
        <v>46149</v>
      </c>
      <c r="C111" t="s">
        <v>8</v>
      </c>
      <c r="D111" t="s">
        <v>27</v>
      </c>
      <c r="E111">
        <v>7</v>
      </c>
      <c r="F111" s="5">
        <v>265.88</v>
      </c>
      <c r="G111" s="5">
        <f>Table1[[#This Row],[Quantity]]*Table1[[#This Row],[Unit_Price]]</f>
        <v>1861.1599999999999</v>
      </c>
      <c r="H111" t="s">
        <v>10</v>
      </c>
    </row>
    <row r="112" spans="1:8" hidden="1">
      <c r="A112" t="s">
        <v>17</v>
      </c>
      <c r="B112" s="2">
        <v>45799</v>
      </c>
      <c r="C112" t="s">
        <v>12</v>
      </c>
      <c r="D112" t="s">
        <v>9</v>
      </c>
      <c r="E112">
        <v>5</v>
      </c>
      <c r="F112" s="5">
        <v>11.09</v>
      </c>
      <c r="G112" s="5">
        <f>Table1[[#This Row],[Quantity]]*Table1[[#This Row],[Unit_Price]]</f>
        <v>55.45</v>
      </c>
      <c r="H112" t="s">
        <v>10</v>
      </c>
    </row>
    <row r="113" spans="1:8" hidden="1">
      <c r="A113" t="s">
        <v>31</v>
      </c>
      <c r="B113" s="2">
        <v>45833</v>
      </c>
      <c r="C113" t="s">
        <v>12</v>
      </c>
      <c r="D113" t="s">
        <v>13</v>
      </c>
      <c r="E113">
        <v>7</v>
      </c>
      <c r="F113" s="5">
        <v>66.59</v>
      </c>
      <c r="G113" s="5">
        <f>Table1[[#This Row],[Quantity]]*Table1[[#This Row],[Unit_Price]]</f>
        <v>466.13</v>
      </c>
      <c r="H113" t="s">
        <v>10</v>
      </c>
    </row>
    <row r="114" spans="1:8" hidden="1">
      <c r="A114" t="s">
        <v>263</v>
      </c>
      <c r="B114" s="2">
        <v>45784</v>
      </c>
      <c r="C114" t="s">
        <v>12</v>
      </c>
      <c r="D114" t="s">
        <v>27</v>
      </c>
      <c r="E114">
        <v>6</v>
      </c>
      <c r="F114" s="5">
        <v>255.37</v>
      </c>
      <c r="G114" s="5">
        <f>Table1[[#This Row],[Quantity]]*Table1[[#This Row],[Unit_Price]]</f>
        <v>1532.22</v>
      </c>
      <c r="H114" t="s">
        <v>14</v>
      </c>
    </row>
    <row r="115" spans="1:8" hidden="1">
      <c r="A115" t="s">
        <v>30</v>
      </c>
      <c r="B115" s="2">
        <v>45881</v>
      </c>
      <c r="C115" t="s">
        <v>12</v>
      </c>
      <c r="D115" t="s">
        <v>9</v>
      </c>
      <c r="E115">
        <v>4</v>
      </c>
      <c r="F115" s="5">
        <v>19.88</v>
      </c>
      <c r="G115" s="5">
        <f>Table1[[#This Row],[Quantity]]*Table1[[#This Row],[Unit_Price]]</f>
        <v>79.52</v>
      </c>
      <c r="H115" t="s">
        <v>323</v>
      </c>
    </row>
    <row r="116" spans="1:8" hidden="1">
      <c r="A116" t="s">
        <v>164</v>
      </c>
      <c r="B116" s="2">
        <v>45680</v>
      </c>
      <c r="C116" t="s">
        <v>12</v>
      </c>
      <c r="D116" t="s">
        <v>38</v>
      </c>
      <c r="E116">
        <v>3</v>
      </c>
      <c r="F116" s="5">
        <v>118.11</v>
      </c>
      <c r="G116" s="5">
        <f>Table1[[#This Row],[Quantity]]*Table1[[#This Row],[Unit_Price]]</f>
        <v>354.33</v>
      </c>
      <c r="H116" t="s">
        <v>10</v>
      </c>
    </row>
    <row r="117" spans="1:8" hidden="1">
      <c r="A117" t="s">
        <v>270</v>
      </c>
      <c r="B117" s="2">
        <v>45933</v>
      </c>
      <c r="C117" t="s">
        <v>12</v>
      </c>
      <c r="D117" t="s">
        <v>27</v>
      </c>
      <c r="E117">
        <v>2</v>
      </c>
      <c r="F117" s="5">
        <v>187.79</v>
      </c>
      <c r="G117" s="5">
        <f>Table1[[#This Row],[Quantity]]*Table1[[#This Row],[Unit_Price]]</f>
        <v>375.58</v>
      </c>
      <c r="H117" t="s">
        <v>10</v>
      </c>
    </row>
    <row r="118" spans="1:8">
      <c r="A118" t="s">
        <v>93</v>
      </c>
      <c r="B118" s="2">
        <v>73050</v>
      </c>
      <c r="C118" t="s">
        <v>12</v>
      </c>
      <c r="D118" t="s">
        <v>27</v>
      </c>
      <c r="E118">
        <v>3</v>
      </c>
      <c r="F118" s="5">
        <v>259.64999999999998</v>
      </c>
      <c r="G118" s="5">
        <f>Table1[[#This Row],[Quantity]]*Table1[[#This Row],[Unit_Price]]</f>
        <v>778.94999999999993</v>
      </c>
      <c r="H118" t="s">
        <v>16</v>
      </c>
    </row>
    <row r="119" spans="1:8" hidden="1">
      <c r="A119" t="s">
        <v>271</v>
      </c>
      <c r="B119" s="2">
        <v>45911</v>
      </c>
      <c r="C119" t="s">
        <v>8</v>
      </c>
      <c r="D119" t="s">
        <v>19</v>
      </c>
      <c r="E119">
        <v>3</v>
      </c>
      <c r="F119" s="5">
        <v>9.18</v>
      </c>
      <c r="G119" s="5">
        <f>Table1[[#This Row],[Quantity]]*Table1[[#This Row],[Unit_Price]]</f>
        <v>27.54</v>
      </c>
      <c r="H119" t="s">
        <v>16</v>
      </c>
    </row>
    <row r="120" spans="1:8" hidden="1">
      <c r="A120" t="s">
        <v>46</v>
      </c>
      <c r="B120" s="2">
        <v>45900</v>
      </c>
      <c r="C120" t="s">
        <v>12</v>
      </c>
      <c r="D120" t="s">
        <v>27</v>
      </c>
      <c r="E120">
        <v>6</v>
      </c>
      <c r="F120" s="5">
        <v>329.67</v>
      </c>
      <c r="G120" s="5">
        <f>Table1[[#This Row],[Quantity]]*Table1[[#This Row],[Unit_Price]]</f>
        <v>1978.02</v>
      </c>
      <c r="H120" t="s">
        <v>10</v>
      </c>
    </row>
    <row r="121" spans="1:8" hidden="1">
      <c r="A121" t="s">
        <v>282</v>
      </c>
      <c r="B121" s="2">
        <v>46224</v>
      </c>
      <c r="C121" t="s">
        <v>8</v>
      </c>
      <c r="D121" t="s">
        <v>38</v>
      </c>
      <c r="E121">
        <v>6</v>
      </c>
      <c r="F121" s="5">
        <v>52.87</v>
      </c>
      <c r="G121" s="5">
        <f>Table1[[#This Row],[Quantity]]*Table1[[#This Row],[Unit_Price]]</f>
        <v>317.21999999999997</v>
      </c>
      <c r="H121" t="s">
        <v>33</v>
      </c>
    </row>
    <row r="122" spans="1:8" hidden="1">
      <c r="A122" t="s">
        <v>104</v>
      </c>
      <c r="B122" s="2">
        <v>46078</v>
      </c>
      <c r="C122" t="s">
        <v>12</v>
      </c>
      <c r="D122" t="s">
        <v>9</v>
      </c>
      <c r="E122">
        <v>8</v>
      </c>
      <c r="F122" s="5">
        <v>12.24</v>
      </c>
      <c r="G122" s="5">
        <f>Table1[[#This Row],[Quantity]]*Table1[[#This Row],[Unit_Price]]</f>
        <v>97.92</v>
      </c>
      <c r="H122" t="s">
        <v>23</v>
      </c>
    </row>
    <row r="123" spans="1:8" hidden="1">
      <c r="A123" t="s">
        <v>144</v>
      </c>
      <c r="B123" s="2">
        <v>45735</v>
      </c>
      <c r="C123" t="s">
        <v>8</v>
      </c>
      <c r="D123" t="s">
        <v>323</v>
      </c>
      <c r="E123">
        <v>7</v>
      </c>
      <c r="F123" s="5">
        <v>71.22</v>
      </c>
      <c r="G123" s="5">
        <f>Table1[[#This Row],[Quantity]]*Table1[[#This Row],[Unit_Price]]</f>
        <v>498.53999999999996</v>
      </c>
      <c r="H123" t="s">
        <v>23</v>
      </c>
    </row>
    <row r="124" spans="1:8" hidden="1">
      <c r="A124" t="s">
        <v>142</v>
      </c>
      <c r="B124" s="2">
        <v>45761</v>
      </c>
      <c r="C124" t="s">
        <v>8</v>
      </c>
      <c r="D124" t="s">
        <v>13</v>
      </c>
      <c r="E124">
        <v>4</v>
      </c>
      <c r="F124" s="5">
        <v>70.36</v>
      </c>
      <c r="G124" s="5">
        <f>Table1[[#This Row],[Quantity]]*Table1[[#This Row],[Unit_Price]]</f>
        <v>281.44</v>
      </c>
      <c r="H124" t="s">
        <v>33</v>
      </c>
    </row>
    <row r="125" spans="1:8" hidden="1">
      <c r="A125" t="s">
        <v>44</v>
      </c>
      <c r="B125" s="2">
        <v>45751</v>
      </c>
      <c r="C125" t="s">
        <v>8</v>
      </c>
      <c r="D125" t="s">
        <v>9</v>
      </c>
      <c r="E125">
        <v>4</v>
      </c>
      <c r="F125" s="5">
        <v>24.99</v>
      </c>
      <c r="G125" s="5">
        <f>Table1[[#This Row],[Quantity]]*Table1[[#This Row],[Unit_Price]]</f>
        <v>99.96</v>
      </c>
      <c r="H125" t="s">
        <v>10</v>
      </c>
    </row>
    <row r="126" spans="1:8" hidden="1">
      <c r="A126" t="s">
        <v>207</v>
      </c>
      <c r="B126" s="2">
        <v>45941</v>
      </c>
      <c r="C126" t="s">
        <v>12</v>
      </c>
      <c r="D126" t="s">
        <v>323</v>
      </c>
      <c r="E126">
        <v>3</v>
      </c>
      <c r="F126" s="5">
        <v>16.54</v>
      </c>
      <c r="G126" s="5">
        <f>Table1[[#This Row],[Quantity]]*Table1[[#This Row],[Unit_Price]]</f>
        <v>49.62</v>
      </c>
      <c r="H126" t="s">
        <v>10</v>
      </c>
    </row>
    <row r="127" spans="1:8" hidden="1">
      <c r="A127" t="s">
        <v>59</v>
      </c>
      <c r="B127" s="2">
        <v>45658</v>
      </c>
      <c r="C127" t="s">
        <v>12</v>
      </c>
      <c r="D127" t="s">
        <v>9</v>
      </c>
      <c r="E127">
        <v>3</v>
      </c>
      <c r="F127" s="5">
        <v>26.83</v>
      </c>
      <c r="G127" s="5">
        <f>Table1[[#This Row],[Quantity]]*Table1[[#This Row],[Unit_Price]]</f>
        <v>80.489999999999995</v>
      </c>
      <c r="H127" t="s">
        <v>10</v>
      </c>
    </row>
    <row r="128" spans="1:8">
      <c r="A128" t="s">
        <v>217</v>
      </c>
      <c r="B128" s="2">
        <v>73050</v>
      </c>
      <c r="C128" t="s">
        <v>12</v>
      </c>
      <c r="D128" t="s">
        <v>13</v>
      </c>
      <c r="E128">
        <v>7</v>
      </c>
      <c r="F128" s="5">
        <v>29.41</v>
      </c>
      <c r="G128" s="5">
        <f>Table1[[#This Row],[Quantity]]*Table1[[#This Row],[Unit_Price]]</f>
        <v>205.87</v>
      </c>
      <c r="H128" t="s">
        <v>10</v>
      </c>
    </row>
    <row r="129" spans="1:8" hidden="1">
      <c r="A129" t="s">
        <v>152</v>
      </c>
      <c r="B129" s="2">
        <v>46121</v>
      </c>
      <c r="C129" t="s">
        <v>12</v>
      </c>
      <c r="D129" t="s">
        <v>9</v>
      </c>
      <c r="E129">
        <v>7</v>
      </c>
      <c r="F129" s="5">
        <v>22.38</v>
      </c>
      <c r="G129" s="5">
        <f>Table1[[#This Row],[Quantity]]*Table1[[#This Row],[Unit_Price]]</f>
        <v>156.66</v>
      </c>
      <c r="H129" t="s">
        <v>10</v>
      </c>
    </row>
    <row r="130" spans="1:8" hidden="1">
      <c r="A130" t="s">
        <v>55</v>
      </c>
      <c r="B130" s="2">
        <v>45751</v>
      </c>
      <c r="C130" t="s">
        <v>8</v>
      </c>
      <c r="D130" t="s">
        <v>27</v>
      </c>
      <c r="E130">
        <v>7</v>
      </c>
      <c r="F130" s="5">
        <v>145.01</v>
      </c>
      <c r="G130" s="5">
        <f>Table1[[#This Row],[Quantity]]*Table1[[#This Row],[Unit_Price]]</f>
        <v>1015.0699999999999</v>
      </c>
      <c r="H130" t="s">
        <v>16</v>
      </c>
    </row>
    <row r="131" spans="1:8" hidden="1">
      <c r="A131" t="s">
        <v>184</v>
      </c>
      <c r="B131" s="2">
        <v>46073</v>
      </c>
      <c r="C131" t="s">
        <v>12</v>
      </c>
      <c r="D131" t="s">
        <v>27</v>
      </c>
      <c r="E131">
        <v>3</v>
      </c>
      <c r="F131" s="5">
        <v>123.7</v>
      </c>
      <c r="G131" s="5">
        <f>Table1[[#This Row],[Quantity]]*Table1[[#This Row],[Unit_Price]]</f>
        <v>371.1</v>
      </c>
      <c r="H131" t="s">
        <v>16</v>
      </c>
    </row>
    <row r="132" spans="1:8" hidden="1">
      <c r="A132" t="s">
        <v>202</v>
      </c>
      <c r="B132" s="2">
        <v>46209</v>
      </c>
      <c r="C132" t="s">
        <v>12</v>
      </c>
      <c r="D132" t="s">
        <v>13</v>
      </c>
      <c r="E132">
        <v>1</v>
      </c>
      <c r="F132" s="5">
        <v>36.229999999999997</v>
      </c>
      <c r="G132" s="5">
        <f>Table1[[#This Row],[Quantity]]*Table1[[#This Row],[Unit_Price]]</f>
        <v>36.229999999999997</v>
      </c>
      <c r="H132" t="s">
        <v>10</v>
      </c>
    </row>
    <row r="133" spans="1:8" hidden="1">
      <c r="A133" t="s">
        <v>169</v>
      </c>
      <c r="B133" s="2">
        <v>46232</v>
      </c>
      <c r="C133" t="s">
        <v>8</v>
      </c>
      <c r="D133" t="s">
        <v>323</v>
      </c>
      <c r="E133">
        <v>7</v>
      </c>
      <c r="F133" s="5">
        <v>90.6</v>
      </c>
      <c r="G133" s="5">
        <f>Table1[[#This Row],[Quantity]]*Table1[[#This Row],[Unit_Price]]</f>
        <v>634.19999999999993</v>
      </c>
      <c r="H133" t="s">
        <v>16</v>
      </c>
    </row>
    <row r="134" spans="1:8" hidden="1">
      <c r="A134" t="s">
        <v>148</v>
      </c>
      <c r="B134" s="2">
        <v>46064</v>
      </c>
      <c r="C134" t="s">
        <v>8</v>
      </c>
      <c r="D134" t="s">
        <v>13</v>
      </c>
      <c r="E134">
        <v>5</v>
      </c>
      <c r="F134" s="5">
        <v>55.05</v>
      </c>
      <c r="G134" s="5">
        <f>Table1[[#This Row],[Quantity]]*Table1[[#This Row],[Unit_Price]]</f>
        <v>275.25</v>
      </c>
      <c r="H134" t="s">
        <v>51</v>
      </c>
    </row>
    <row r="135" spans="1:8" hidden="1">
      <c r="A135" t="s">
        <v>291</v>
      </c>
      <c r="B135" s="2">
        <v>46091</v>
      </c>
      <c r="C135" t="s">
        <v>8</v>
      </c>
      <c r="D135" t="s">
        <v>19</v>
      </c>
      <c r="E135">
        <v>7</v>
      </c>
      <c r="F135" s="5">
        <v>1008.97</v>
      </c>
      <c r="G135" s="5">
        <f>Table1[[#This Row],[Quantity]]*Table1[[#This Row],[Unit_Price]]</f>
        <v>7062.79</v>
      </c>
      <c r="H135" t="s">
        <v>10</v>
      </c>
    </row>
    <row r="136" spans="1:8" hidden="1">
      <c r="A136" t="s">
        <v>218</v>
      </c>
      <c r="B136" s="2">
        <v>45809</v>
      </c>
      <c r="C136" t="s">
        <v>12</v>
      </c>
      <c r="D136" t="s">
        <v>27</v>
      </c>
      <c r="E136">
        <v>1</v>
      </c>
      <c r="F136" s="5">
        <v>153.24</v>
      </c>
      <c r="G136" s="5">
        <f>Table1[[#This Row],[Quantity]]*Table1[[#This Row],[Unit_Price]]</f>
        <v>153.24</v>
      </c>
      <c r="H136" t="s">
        <v>16</v>
      </c>
    </row>
    <row r="137" spans="1:8" hidden="1">
      <c r="A137" t="s">
        <v>15</v>
      </c>
      <c r="B137" s="2">
        <v>46127</v>
      </c>
      <c r="C137" t="s">
        <v>8</v>
      </c>
      <c r="D137" t="s">
        <v>9</v>
      </c>
      <c r="E137">
        <v>8</v>
      </c>
      <c r="F137" s="5">
        <v>22.92</v>
      </c>
      <c r="G137" s="5">
        <f>Table1[[#This Row],[Quantity]]*Table1[[#This Row],[Unit_Price]]</f>
        <v>183.36</v>
      </c>
      <c r="H137" t="s">
        <v>16</v>
      </c>
    </row>
    <row r="138" spans="1:8" hidden="1">
      <c r="A138" t="s">
        <v>7</v>
      </c>
      <c r="B138" s="2">
        <v>46070</v>
      </c>
      <c r="C138" t="s">
        <v>8</v>
      </c>
      <c r="D138" t="s">
        <v>9</v>
      </c>
      <c r="E138">
        <v>2</v>
      </c>
      <c r="F138" s="5">
        <v>19.5</v>
      </c>
      <c r="G138" s="5">
        <f>Table1[[#This Row],[Quantity]]*Table1[[#This Row],[Unit_Price]]</f>
        <v>39</v>
      </c>
      <c r="H138" t="s">
        <v>10</v>
      </c>
    </row>
    <row r="139" spans="1:8" hidden="1">
      <c r="A139" t="s">
        <v>111</v>
      </c>
      <c r="B139" s="2">
        <v>45814</v>
      </c>
      <c r="C139" t="s">
        <v>8</v>
      </c>
      <c r="D139" t="s">
        <v>27</v>
      </c>
      <c r="E139">
        <v>1</v>
      </c>
      <c r="F139" s="5">
        <v>193.89</v>
      </c>
      <c r="G139" s="5">
        <f>Table1[[#This Row],[Quantity]]*Table1[[#This Row],[Unit_Price]]</f>
        <v>193.89</v>
      </c>
      <c r="H139" t="s">
        <v>14</v>
      </c>
    </row>
    <row r="140" spans="1:8" hidden="1">
      <c r="A140" t="s">
        <v>225</v>
      </c>
      <c r="B140" s="2">
        <v>45767</v>
      </c>
      <c r="C140" t="s">
        <v>8</v>
      </c>
      <c r="D140" t="s">
        <v>323</v>
      </c>
      <c r="E140">
        <v>2</v>
      </c>
      <c r="F140" s="5">
        <v>1008.97</v>
      </c>
      <c r="G140" s="5">
        <f>Table1[[#This Row],[Quantity]]*Table1[[#This Row],[Unit_Price]]</f>
        <v>2017.94</v>
      </c>
      <c r="H140" t="s">
        <v>14</v>
      </c>
    </row>
    <row r="141" spans="1:8" hidden="1">
      <c r="A141" t="s">
        <v>138</v>
      </c>
      <c r="B141" s="2">
        <v>45747</v>
      </c>
      <c r="C141" t="s">
        <v>12</v>
      </c>
      <c r="D141" t="s">
        <v>13</v>
      </c>
      <c r="E141">
        <v>5</v>
      </c>
      <c r="F141" s="5">
        <v>45.89</v>
      </c>
      <c r="G141" s="5">
        <f>Table1[[#This Row],[Quantity]]*Table1[[#This Row],[Unit_Price]]</f>
        <v>229.45</v>
      </c>
      <c r="H141" t="s">
        <v>10</v>
      </c>
    </row>
    <row r="142" spans="1:8" hidden="1">
      <c r="A142" t="s">
        <v>245</v>
      </c>
      <c r="B142" s="2">
        <v>45802</v>
      </c>
      <c r="C142" t="s">
        <v>8</v>
      </c>
      <c r="D142" t="s">
        <v>9</v>
      </c>
      <c r="E142">
        <v>2</v>
      </c>
      <c r="F142" s="5">
        <v>16.940000000000001</v>
      </c>
      <c r="G142" s="5">
        <f>Table1[[#This Row],[Quantity]]*Table1[[#This Row],[Unit_Price]]</f>
        <v>33.880000000000003</v>
      </c>
      <c r="H142" t="s">
        <v>323</v>
      </c>
    </row>
    <row r="143" spans="1:8" hidden="1">
      <c r="A143" t="s">
        <v>66</v>
      </c>
      <c r="B143" s="2">
        <v>46108</v>
      </c>
      <c r="C143" t="s">
        <v>12</v>
      </c>
      <c r="D143" t="s">
        <v>13</v>
      </c>
      <c r="E143">
        <v>5</v>
      </c>
      <c r="F143" s="5">
        <v>25.76</v>
      </c>
      <c r="G143" s="5">
        <f>Table1[[#This Row],[Quantity]]*Table1[[#This Row],[Unit_Price]]</f>
        <v>128.80000000000001</v>
      </c>
      <c r="H143" t="s">
        <v>33</v>
      </c>
    </row>
    <row r="144" spans="1:8" hidden="1">
      <c r="A144" t="s">
        <v>109</v>
      </c>
      <c r="B144" s="2">
        <v>45839</v>
      </c>
      <c r="C144" t="s">
        <v>8</v>
      </c>
      <c r="D144" t="s">
        <v>9</v>
      </c>
      <c r="E144">
        <v>8</v>
      </c>
      <c r="F144" s="5">
        <v>28.43</v>
      </c>
      <c r="G144" s="5">
        <f>Table1[[#This Row],[Quantity]]*Table1[[#This Row],[Unit_Price]]</f>
        <v>227.44</v>
      </c>
      <c r="H144" t="s">
        <v>51</v>
      </c>
    </row>
    <row r="145" spans="1:8" hidden="1">
      <c r="A145" t="s">
        <v>252</v>
      </c>
      <c r="B145" s="2">
        <v>45680</v>
      </c>
      <c r="C145" t="s">
        <v>8</v>
      </c>
      <c r="D145" t="s">
        <v>9</v>
      </c>
      <c r="E145">
        <v>3</v>
      </c>
      <c r="F145" s="5">
        <v>24.22</v>
      </c>
      <c r="G145" s="5">
        <f>Table1[[#This Row],[Quantity]]*Table1[[#This Row],[Unit_Price]]</f>
        <v>72.66</v>
      </c>
      <c r="H145" t="s">
        <v>10</v>
      </c>
    </row>
    <row r="146" spans="1:8">
      <c r="A146" t="s">
        <v>242</v>
      </c>
      <c r="B146" s="2">
        <v>73050</v>
      </c>
      <c r="C146" t="s">
        <v>12</v>
      </c>
      <c r="D146" t="s">
        <v>13</v>
      </c>
      <c r="E146">
        <v>4</v>
      </c>
      <c r="F146" s="5">
        <v>54.66</v>
      </c>
      <c r="G146" s="5">
        <f>Table1[[#This Row],[Quantity]]*Table1[[#This Row],[Unit_Price]]</f>
        <v>218.64</v>
      </c>
      <c r="H146" t="s">
        <v>14</v>
      </c>
    </row>
    <row r="147" spans="1:8" hidden="1">
      <c r="A147" t="s">
        <v>248</v>
      </c>
      <c r="B147" s="2">
        <v>45749</v>
      </c>
      <c r="C147" t="s">
        <v>12</v>
      </c>
      <c r="D147" t="s">
        <v>27</v>
      </c>
      <c r="E147">
        <v>2</v>
      </c>
      <c r="F147" s="5">
        <v>165.11</v>
      </c>
      <c r="G147" s="5">
        <f>Table1[[#This Row],[Quantity]]*Table1[[#This Row],[Unit_Price]]</f>
        <v>330.22</v>
      </c>
      <c r="H147" t="s">
        <v>33</v>
      </c>
    </row>
    <row r="148" spans="1:8" hidden="1">
      <c r="A148" t="s">
        <v>230</v>
      </c>
      <c r="B148" s="2">
        <v>45746</v>
      </c>
      <c r="C148" t="s">
        <v>8</v>
      </c>
      <c r="D148" t="s">
        <v>27</v>
      </c>
      <c r="E148">
        <v>1</v>
      </c>
      <c r="F148" s="5">
        <v>235.54</v>
      </c>
      <c r="G148" s="5">
        <f>Table1[[#This Row],[Quantity]]*Table1[[#This Row],[Unit_Price]]</f>
        <v>235.54</v>
      </c>
      <c r="H148" t="s">
        <v>16</v>
      </c>
    </row>
    <row r="149" spans="1:8" hidden="1">
      <c r="A149" t="s">
        <v>196</v>
      </c>
      <c r="B149" s="2">
        <v>46026</v>
      </c>
      <c r="C149" t="s">
        <v>8</v>
      </c>
      <c r="D149" t="s">
        <v>9</v>
      </c>
      <c r="E149">
        <v>7</v>
      </c>
      <c r="F149" s="5">
        <v>14.03</v>
      </c>
      <c r="G149" s="5">
        <f>Table1[[#This Row],[Quantity]]*Table1[[#This Row],[Unit_Price]]</f>
        <v>98.21</v>
      </c>
      <c r="H149" t="s">
        <v>10</v>
      </c>
    </row>
    <row r="150" spans="1:8" hidden="1">
      <c r="A150" t="s">
        <v>260</v>
      </c>
      <c r="B150" s="2">
        <v>45860</v>
      </c>
      <c r="C150" t="s">
        <v>8</v>
      </c>
      <c r="D150" t="s">
        <v>19</v>
      </c>
      <c r="E150">
        <v>2</v>
      </c>
      <c r="F150" s="5">
        <v>5.6</v>
      </c>
      <c r="G150" s="5">
        <f>Table1[[#This Row],[Quantity]]*Table1[[#This Row],[Unit_Price]]</f>
        <v>11.2</v>
      </c>
      <c r="H150" t="s">
        <v>323</v>
      </c>
    </row>
    <row r="151" spans="1:8" hidden="1">
      <c r="A151" t="s">
        <v>244</v>
      </c>
      <c r="B151" s="2">
        <v>45756</v>
      </c>
      <c r="C151" t="s">
        <v>8</v>
      </c>
      <c r="D151" t="s">
        <v>27</v>
      </c>
      <c r="E151">
        <v>2</v>
      </c>
      <c r="F151" s="5">
        <v>340</v>
      </c>
      <c r="G151" s="5">
        <f>Table1[[#This Row],[Quantity]]*Table1[[#This Row],[Unit_Price]]</f>
        <v>680</v>
      </c>
      <c r="H151" t="s">
        <v>33</v>
      </c>
    </row>
    <row r="152" spans="1:8" hidden="1">
      <c r="A152" t="s">
        <v>272</v>
      </c>
      <c r="B152" s="2">
        <v>46048</v>
      </c>
      <c r="C152" t="s">
        <v>12</v>
      </c>
      <c r="D152" t="s">
        <v>27</v>
      </c>
      <c r="E152">
        <v>8</v>
      </c>
      <c r="F152" s="5">
        <v>186.36</v>
      </c>
      <c r="G152" s="5">
        <f>Table1[[#This Row],[Quantity]]*Table1[[#This Row],[Unit_Price]]</f>
        <v>1490.88</v>
      </c>
      <c r="H152" t="s">
        <v>10</v>
      </c>
    </row>
    <row r="153" spans="1:8" hidden="1">
      <c r="A153" t="s">
        <v>94</v>
      </c>
      <c r="B153" s="2">
        <v>45761</v>
      </c>
      <c r="C153" t="s">
        <v>8</v>
      </c>
      <c r="D153" t="s">
        <v>27</v>
      </c>
      <c r="E153">
        <v>5</v>
      </c>
      <c r="F153" s="5">
        <v>1008.97</v>
      </c>
      <c r="G153" s="5">
        <f>Table1[[#This Row],[Quantity]]*Table1[[#This Row],[Unit_Price]]</f>
        <v>5044.8500000000004</v>
      </c>
      <c r="H153" t="s">
        <v>33</v>
      </c>
    </row>
    <row r="154" spans="1:8" hidden="1">
      <c r="A154" t="s">
        <v>151</v>
      </c>
      <c r="B154" s="2">
        <v>46179</v>
      </c>
      <c r="C154" t="s">
        <v>8</v>
      </c>
      <c r="D154" t="s">
        <v>13</v>
      </c>
      <c r="E154">
        <v>1</v>
      </c>
      <c r="F154" s="5">
        <v>54.06</v>
      </c>
      <c r="G154" s="5">
        <f>Table1[[#This Row],[Quantity]]*Table1[[#This Row],[Unit_Price]]</f>
        <v>54.06</v>
      </c>
      <c r="H154" t="s">
        <v>10</v>
      </c>
    </row>
    <row r="155" spans="1:8" hidden="1">
      <c r="A155" t="s">
        <v>18</v>
      </c>
      <c r="B155" s="2">
        <v>45800</v>
      </c>
      <c r="C155" t="s">
        <v>8</v>
      </c>
      <c r="D155" t="s">
        <v>19</v>
      </c>
      <c r="E155">
        <v>2</v>
      </c>
      <c r="F155" s="5">
        <v>6.08</v>
      </c>
      <c r="G155" s="5">
        <f>Table1[[#This Row],[Quantity]]*Table1[[#This Row],[Unit_Price]]</f>
        <v>12.16</v>
      </c>
      <c r="H155" t="s">
        <v>16</v>
      </c>
    </row>
    <row r="156" spans="1:8" hidden="1">
      <c r="A156" t="s">
        <v>173</v>
      </c>
      <c r="B156" s="2">
        <v>45826</v>
      </c>
      <c r="C156" t="s">
        <v>12</v>
      </c>
      <c r="D156" t="s">
        <v>38</v>
      </c>
      <c r="E156">
        <v>5</v>
      </c>
      <c r="F156" s="5">
        <v>99.46</v>
      </c>
      <c r="G156" s="5">
        <f>Table1[[#This Row],[Quantity]]*Table1[[#This Row],[Unit_Price]]</f>
        <v>497.29999999999995</v>
      </c>
      <c r="H156" t="s">
        <v>16</v>
      </c>
    </row>
    <row r="157" spans="1:8" hidden="1">
      <c r="A157" t="s">
        <v>45</v>
      </c>
      <c r="B157" s="2">
        <v>46178</v>
      </c>
      <c r="C157" t="s">
        <v>8</v>
      </c>
      <c r="D157" t="s">
        <v>9</v>
      </c>
      <c r="E157">
        <v>2</v>
      </c>
      <c r="F157" s="5">
        <v>1008.97</v>
      </c>
      <c r="G157" s="5">
        <f>Table1[[#This Row],[Quantity]]*Table1[[#This Row],[Unit_Price]]</f>
        <v>2017.94</v>
      </c>
      <c r="H157" t="s">
        <v>10</v>
      </c>
    </row>
    <row r="158" spans="1:8" hidden="1">
      <c r="A158" t="s">
        <v>64</v>
      </c>
      <c r="B158" s="2">
        <v>45730</v>
      </c>
      <c r="C158" t="s">
        <v>12</v>
      </c>
      <c r="D158" t="s">
        <v>13</v>
      </c>
      <c r="E158">
        <v>3</v>
      </c>
      <c r="F158" s="5">
        <v>52.56</v>
      </c>
      <c r="G158" s="5">
        <f>Table1[[#This Row],[Quantity]]*Table1[[#This Row],[Unit_Price]]</f>
        <v>157.68</v>
      </c>
      <c r="H158" t="s">
        <v>33</v>
      </c>
    </row>
    <row r="159" spans="1:8" hidden="1">
      <c r="A159" t="s">
        <v>283</v>
      </c>
      <c r="B159" s="2">
        <v>46070</v>
      </c>
      <c r="C159" t="s">
        <v>8</v>
      </c>
      <c r="D159" t="s">
        <v>38</v>
      </c>
      <c r="E159">
        <v>7</v>
      </c>
      <c r="F159" s="5">
        <v>74.180000000000007</v>
      </c>
      <c r="G159" s="5">
        <f>Table1[[#This Row],[Quantity]]*Table1[[#This Row],[Unit_Price]]</f>
        <v>519.26</v>
      </c>
      <c r="H159" t="s">
        <v>323</v>
      </c>
    </row>
    <row r="160" spans="1:8" hidden="1">
      <c r="A160" t="s">
        <v>36</v>
      </c>
      <c r="B160" s="2">
        <v>45871</v>
      </c>
      <c r="C160" t="s">
        <v>8</v>
      </c>
      <c r="D160" t="s">
        <v>9</v>
      </c>
      <c r="E160">
        <v>3</v>
      </c>
      <c r="F160" s="5">
        <v>18.850000000000001</v>
      </c>
      <c r="G160" s="5">
        <f>Table1[[#This Row],[Quantity]]*Table1[[#This Row],[Unit_Price]]</f>
        <v>56.550000000000004</v>
      </c>
      <c r="H160" t="s">
        <v>10</v>
      </c>
    </row>
    <row r="161" spans="1:8" hidden="1">
      <c r="A161" t="s">
        <v>29</v>
      </c>
      <c r="B161" s="2">
        <v>45928</v>
      </c>
      <c r="C161" t="s">
        <v>12</v>
      </c>
      <c r="D161" t="s">
        <v>27</v>
      </c>
      <c r="E161">
        <v>7</v>
      </c>
      <c r="F161" s="5">
        <v>327.5</v>
      </c>
      <c r="G161" s="5">
        <f>Table1[[#This Row],[Quantity]]*Table1[[#This Row],[Unit_Price]]</f>
        <v>2292.5</v>
      </c>
      <c r="H161" t="s">
        <v>23</v>
      </c>
    </row>
    <row r="162" spans="1:8" hidden="1">
      <c r="A162" t="s">
        <v>128</v>
      </c>
      <c r="B162" s="2">
        <v>46046</v>
      </c>
      <c r="C162" t="s">
        <v>12</v>
      </c>
      <c r="D162" t="s">
        <v>38</v>
      </c>
      <c r="E162">
        <v>4</v>
      </c>
      <c r="F162" s="5">
        <v>126.55</v>
      </c>
      <c r="G162" s="5">
        <f>Table1[[#This Row],[Quantity]]*Table1[[#This Row],[Unit_Price]]</f>
        <v>506.2</v>
      </c>
      <c r="H162" t="s">
        <v>323</v>
      </c>
    </row>
    <row r="163" spans="1:8" hidden="1">
      <c r="A163" t="s">
        <v>80</v>
      </c>
      <c r="B163" s="2">
        <v>46109</v>
      </c>
      <c r="C163" t="s">
        <v>12</v>
      </c>
      <c r="D163" t="s">
        <v>27</v>
      </c>
      <c r="E163">
        <v>1</v>
      </c>
      <c r="F163" s="5">
        <v>132.47999999999999</v>
      </c>
      <c r="G163" s="5">
        <f>Table1[[#This Row],[Quantity]]*Table1[[#This Row],[Unit_Price]]</f>
        <v>132.47999999999999</v>
      </c>
      <c r="H163" t="s">
        <v>10</v>
      </c>
    </row>
    <row r="164" spans="1:8" hidden="1">
      <c r="A164" t="s">
        <v>293</v>
      </c>
      <c r="B164" s="2">
        <v>45806</v>
      </c>
      <c r="C164" t="s">
        <v>12</v>
      </c>
      <c r="D164" t="s">
        <v>27</v>
      </c>
      <c r="E164">
        <v>8</v>
      </c>
      <c r="F164" s="5">
        <v>291.13</v>
      </c>
      <c r="G164" s="5">
        <f>Table1[[#This Row],[Quantity]]*Table1[[#This Row],[Unit_Price]]</f>
        <v>2329.04</v>
      </c>
      <c r="H164" t="s">
        <v>10</v>
      </c>
    </row>
    <row r="165" spans="1:8" hidden="1">
      <c r="A165" t="s">
        <v>235</v>
      </c>
      <c r="B165" s="2">
        <v>45825</v>
      </c>
      <c r="C165" t="s">
        <v>8</v>
      </c>
      <c r="D165" t="s">
        <v>27</v>
      </c>
      <c r="E165">
        <v>2</v>
      </c>
      <c r="F165" s="5">
        <v>314.92</v>
      </c>
      <c r="G165" s="5">
        <f>Table1[[#This Row],[Quantity]]*Table1[[#This Row],[Unit_Price]]</f>
        <v>629.84</v>
      </c>
      <c r="H165" t="s">
        <v>10</v>
      </c>
    </row>
    <row r="166" spans="1:8" hidden="1">
      <c r="A166" t="s">
        <v>127</v>
      </c>
      <c r="B166" s="2">
        <v>46166</v>
      </c>
      <c r="C166" t="s">
        <v>12</v>
      </c>
      <c r="D166" t="s">
        <v>13</v>
      </c>
      <c r="E166">
        <v>1</v>
      </c>
      <c r="F166" s="5">
        <v>46.34</v>
      </c>
      <c r="G166" s="5">
        <f>Table1[[#This Row],[Quantity]]*Table1[[#This Row],[Unit_Price]]</f>
        <v>46.34</v>
      </c>
      <c r="H166" t="s">
        <v>51</v>
      </c>
    </row>
    <row r="167" spans="1:8" hidden="1">
      <c r="A167" t="s">
        <v>73</v>
      </c>
      <c r="B167" s="2">
        <v>45909</v>
      </c>
      <c r="C167" t="s">
        <v>12</v>
      </c>
      <c r="D167" t="s">
        <v>27</v>
      </c>
      <c r="E167">
        <v>31</v>
      </c>
      <c r="F167" s="5">
        <v>351.05</v>
      </c>
      <c r="G167" s="5">
        <f>Table1[[#This Row],[Quantity]]*Table1[[#This Row],[Unit_Price]]</f>
        <v>10882.550000000001</v>
      </c>
      <c r="H167" t="s">
        <v>33</v>
      </c>
    </row>
    <row r="168" spans="1:8" hidden="1">
      <c r="A168" t="s">
        <v>212</v>
      </c>
      <c r="B168" s="2">
        <v>45980</v>
      </c>
      <c r="C168" t="s">
        <v>12</v>
      </c>
      <c r="D168" t="s">
        <v>9</v>
      </c>
      <c r="E168">
        <v>5</v>
      </c>
      <c r="F168" s="5">
        <v>13.02</v>
      </c>
      <c r="G168" s="5">
        <f>Table1[[#This Row],[Quantity]]*Table1[[#This Row],[Unit_Price]]</f>
        <v>65.099999999999994</v>
      </c>
      <c r="H168" t="s">
        <v>10</v>
      </c>
    </row>
    <row r="169" spans="1:8" hidden="1">
      <c r="A169" t="s">
        <v>186</v>
      </c>
      <c r="B169" s="2">
        <v>46207</v>
      </c>
      <c r="C169" t="s">
        <v>12</v>
      </c>
      <c r="D169" t="s">
        <v>9</v>
      </c>
      <c r="E169">
        <v>8</v>
      </c>
      <c r="F169" s="5">
        <v>1008.97</v>
      </c>
      <c r="G169" s="5">
        <f>Table1[[#This Row],[Quantity]]*Table1[[#This Row],[Unit_Price]]</f>
        <v>8071.76</v>
      </c>
      <c r="H169" t="s">
        <v>16</v>
      </c>
    </row>
    <row r="170" spans="1:8" hidden="1">
      <c r="A170" t="s">
        <v>194</v>
      </c>
      <c r="B170" s="2">
        <v>45861</v>
      </c>
      <c r="C170" t="s">
        <v>8</v>
      </c>
      <c r="D170" t="s">
        <v>13</v>
      </c>
      <c r="E170">
        <v>6</v>
      </c>
      <c r="F170" s="5">
        <v>42.2</v>
      </c>
      <c r="G170" s="5">
        <f>Table1[[#This Row],[Quantity]]*Table1[[#This Row],[Unit_Price]]</f>
        <v>253.20000000000002</v>
      </c>
      <c r="H170" t="s">
        <v>10</v>
      </c>
    </row>
    <row r="171" spans="1:8" hidden="1">
      <c r="A171" t="s">
        <v>115</v>
      </c>
      <c r="B171" s="2">
        <v>46084</v>
      </c>
      <c r="C171" t="s">
        <v>8</v>
      </c>
      <c r="D171" t="s">
        <v>9</v>
      </c>
      <c r="E171">
        <v>1</v>
      </c>
      <c r="F171" s="5">
        <v>1008.97</v>
      </c>
      <c r="G171" s="5">
        <f>Table1[[#This Row],[Quantity]]*Table1[[#This Row],[Unit_Price]]</f>
        <v>1008.97</v>
      </c>
      <c r="H171" t="s">
        <v>10</v>
      </c>
    </row>
    <row r="172" spans="1:8" hidden="1">
      <c r="A172" t="s">
        <v>236</v>
      </c>
      <c r="B172" s="2">
        <v>46110</v>
      </c>
      <c r="C172" t="s">
        <v>8</v>
      </c>
      <c r="D172" t="s">
        <v>38</v>
      </c>
      <c r="E172">
        <v>2</v>
      </c>
      <c r="F172" s="5">
        <v>134.85</v>
      </c>
      <c r="G172" s="5">
        <f>Table1[[#This Row],[Quantity]]*Table1[[#This Row],[Unit_Price]]</f>
        <v>269.7</v>
      </c>
      <c r="H172" t="s">
        <v>16</v>
      </c>
    </row>
    <row r="173" spans="1:8" hidden="1">
      <c r="A173" t="s">
        <v>91</v>
      </c>
      <c r="B173" s="2">
        <v>45658</v>
      </c>
      <c r="C173" t="s">
        <v>12</v>
      </c>
      <c r="D173" t="s">
        <v>19</v>
      </c>
      <c r="E173">
        <v>5</v>
      </c>
      <c r="F173" s="5">
        <v>10.63</v>
      </c>
      <c r="G173" s="5">
        <f>Table1[[#This Row],[Quantity]]*Table1[[#This Row],[Unit_Price]]</f>
        <v>53.150000000000006</v>
      </c>
      <c r="H173" t="s">
        <v>14</v>
      </c>
    </row>
    <row r="174" spans="1:8" hidden="1">
      <c r="A174" t="s">
        <v>177</v>
      </c>
      <c r="B174" s="2">
        <v>46157</v>
      </c>
      <c r="C174" t="s">
        <v>8</v>
      </c>
      <c r="D174" t="s">
        <v>9</v>
      </c>
      <c r="E174">
        <v>2</v>
      </c>
      <c r="F174" s="5">
        <v>17.45</v>
      </c>
      <c r="G174" s="5">
        <f>Table1[[#This Row],[Quantity]]*Table1[[#This Row],[Unit_Price]]</f>
        <v>34.9</v>
      </c>
      <c r="H174" t="s">
        <v>323</v>
      </c>
    </row>
    <row r="175" spans="1:8" hidden="1">
      <c r="A175" t="s">
        <v>130</v>
      </c>
      <c r="B175" s="2">
        <v>45852</v>
      </c>
      <c r="C175" t="s">
        <v>8</v>
      </c>
      <c r="D175" t="s">
        <v>13</v>
      </c>
      <c r="E175">
        <v>8</v>
      </c>
      <c r="F175" s="5">
        <v>50.43</v>
      </c>
      <c r="G175" s="5">
        <f>Table1[[#This Row],[Quantity]]*Table1[[#This Row],[Unit_Price]]</f>
        <v>403.44</v>
      </c>
      <c r="H175" t="s">
        <v>10</v>
      </c>
    </row>
    <row r="176" spans="1:8" hidden="1">
      <c r="A176" t="s">
        <v>47</v>
      </c>
      <c r="B176" s="2">
        <v>45864</v>
      </c>
      <c r="C176" t="s">
        <v>8</v>
      </c>
      <c r="D176" t="s">
        <v>38</v>
      </c>
      <c r="E176">
        <v>4</v>
      </c>
      <c r="F176" s="5">
        <v>134.88999999999999</v>
      </c>
      <c r="G176" s="5">
        <f>Table1[[#This Row],[Quantity]]*Table1[[#This Row],[Unit_Price]]</f>
        <v>539.55999999999995</v>
      </c>
      <c r="H176" t="s">
        <v>33</v>
      </c>
    </row>
    <row r="177" spans="1:8">
      <c r="A177" t="s">
        <v>211</v>
      </c>
      <c r="B177" s="2">
        <v>73050</v>
      </c>
      <c r="C177" t="s">
        <v>12</v>
      </c>
      <c r="D177" t="s">
        <v>9</v>
      </c>
      <c r="E177">
        <v>6</v>
      </c>
      <c r="F177" s="5">
        <v>15.12</v>
      </c>
      <c r="G177" s="5">
        <f>Table1[[#This Row],[Quantity]]*Table1[[#This Row],[Unit_Price]]</f>
        <v>90.72</v>
      </c>
      <c r="H177" t="s">
        <v>14</v>
      </c>
    </row>
    <row r="178" spans="1:8" hidden="1">
      <c r="A178" t="s">
        <v>279</v>
      </c>
      <c r="B178" s="2">
        <v>45800</v>
      </c>
      <c r="C178" t="s">
        <v>8</v>
      </c>
      <c r="D178" t="s">
        <v>27</v>
      </c>
      <c r="E178">
        <v>4</v>
      </c>
      <c r="F178" s="5">
        <v>249.79</v>
      </c>
      <c r="G178" s="5">
        <f>Table1[[#This Row],[Quantity]]*Table1[[#This Row],[Unit_Price]]</f>
        <v>999.16</v>
      </c>
      <c r="H178" t="s">
        <v>23</v>
      </c>
    </row>
    <row r="179" spans="1:8" hidden="1">
      <c r="A179" t="s">
        <v>237</v>
      </c>
      <c r="B179" s="2">
        <v>45834</v>
      </c>
      <c r="C179" t="s">
        <v>12</v>
      </c>
      <c r="D179" t="s">
        <v>27</v>
      </c>
      <c r="E179">
        <v>1</v>
      </c>
      <c r="F179" s="5">
        <v>319.92</v>
      </c>
      <c r="G179" s="5">
        <f>Table1[[#This Row],[Quantity]]*Table1[[#This Row],[Unit_Price]]</f>
        <v>319.92</v>
      </c>
      <c r="H179" t="s">
        <v>10</v>
      </c>
    </row>
    <row r="180" spans="1:8" hidden="1">
      <c r="A180" t="s">
        <v>268</v>
      </c>
      <c r="B180" s="2">
        <v>45977</v>
      </c>
      <c r="C180" t="s">
        <v>8</v>
      </c>
      <c r="D180" t="s">
        <v>38</v>
      </c>
      <c r="E180">
        <v>1</v>
      </c>
      <c r="F180" s="5">
        <v>75.39</v>
      </c>
      <c r="G180" s="5">
        <f>Table1[[#This Row],[Quantity]]*Table1[[#This Row],[Unit_Price]]</f>
        <v>75.39</v>
      </c>
      <c r="H180" t="s">
        <v>10</v>
      </c>
    </row>
    <row r="181" spans="1:8" hidden="1">
      <c r="A181" t="s">
        <v>85</v>
      </c>
      <c r="B181" s="2">
        <v>46033</v>
      </c>
      <c r="C181" t="s">
        <v>8</v>
      </c>
      <c r="D181" t="s">
        <v>9</v>
      </c>
      <c r="E181">
        <v>7</v>
      </c>
      <c r="F181" s="5">
        <v>20</v>
      </c>
      <c r="G181" s="5">
        <f>Table1[[#This Row],[Quantity]]*Table1[[#This Row],[Unit_Price]]</f>
        <v>140</v>
      </c>
      <c r="H181" t="s">
        <v>23</v>
      </c>
    </row>
    <row r="182" spans="1:8" hidden="1">
      <c r="A182" t="s">
        <v>292</v>
      </c>
      <c r="B182" s="2">
        <v>45978</v>
      </c>
      <c r="C182" t="s">
        <v>8</v>
      </c>
      <c r="D182" t="s">
        <v>323</v>
      </c>
      <c r="E182">
        <v>3</v>
      </c>
      <c r="F182" s="5">
        <v>158.86000000000001</v>
      </c>
      <c r="G182" s="5">
        <f>Table1[[#This Row],[Quantity]]*Table1[[#This Row],[Unit_Price]]</f>
        <v>476.58000000000004</v>
      </c>
      <c r="H182" t="s">
        <v>16</v>
      </c>
    </row>
    <row r="183" spans="1:8" hidden="1">
      <c r="A183" t="s">
        <v>249</v>
      </c>
      <c r="B183" s="2">
        <v>45961</v>
      </c>
      <c r="C183" t="s">
        <v>12</v>
      </c>
      <c r="D183" t="s">
        <v>9</v>
      </c>
      <c r="E183">
        <v>5</v>
      </c>
      <c r="F183" s="5">
        <v>22.34</v>
      </c>
      <c r="G183" s="5">
        <f>Table1[[#This Row],[Quantity]]*Table1[[#This Row],[Unit_Price]]</f>
        <v>111.7</v>
      </c>
      <c r="H183" t="s">
        <v>16</v>
      </c>
    </row>
    <row r="184" spans="1:8" hidden="1">
      <c r="A184" t="s">
        <v>149</v>
      </c>
      <c r="B184" s="2">
        <v>46062</v>
      </c>
      <c r="C184" t="s">
        <v>12</v>
      </c>
      <c r="D184" t="s">
        <v>9</v>
      </c>
      <c r="E184">
        <v>6</v>
      </c>
      <c r="F184" s="5">
        <v>18.27</v>
      </c>
      <c r="G184" s="5">
        <f>Table1[[#This Row],[Quantity]]*Table1[[#This Row],[Unit_Price]]</f>
        <v>109.62</v>
      </c>
      <c r="H184" t="s">
        <v>23</v>
      </c>
    </row>
    <row r="185" spans="1:8" hidden="1">
      <c r="A185" t="s">
        <v>201</v>
      </c>
      <c r="B185" s="2">
        <v>46057</v>
      </c>
      <c r="C185" t="s">
        <v>8</v>
      </c>
      <c r="D185" t="s">
        <v>19</v>
      </c>
      <c r="E185">
        <v>6</v>
      </c>
      <c r="F185" s="5">
        <v>4.93</v>
      </c>
      <c r="G185" s="5">
        <f>Table1[[#This Row],[Quantity]]*Table1[[#This Row],[Unit_Price]]</f>
        <v>29.58</v>
      </c>
      <c r="H185" t="s">
        <v>14</v>
      </c>
    </row>
    <row r="186" spans="1:8" hidden="1">
      <c r="A186" t="s">
        <v>113</v>
      </c>
      <c r="B186" s="2">
        <v>46230</v>
      </c>
      <c r="C186" t="s">
        <v>8</v>
      </c>
      <c r="D186" t="s">
        <v>323</v>
      </c>
      <c r="E186">
        <v>3</v>
      </c>
      <c r="F186" s="5">
        <v>138.38999999999999</v>
      </c>
      <c r="G186" s="5">
        <f>Table1[[#This Row],[Quantity]]*Table1[[#This Row],[Unit_Price]]</f>
        <v>415.16999999999996</v>
      </c>
      <c r="H186" t="s">
        <v>33</v>
      </c>
    </row>
    <row r="187" spans="1:8" hidden="1">
      <c r="A187" t="s">
        <v>264</v>
      </c>
      <c r="B187" s="2">
        <v>46170</v>
      </c>
      <c r="C187" t="s">
        <v>12</v>
      </c>
      <c r="D187" t="s">
        <v>27</v>
      </c>
      <c r="E187">
        <v>1</v>
      </c>
      <c r="F187" s="5">
        <v>270.89</v>
      </c>
      <c r="G187" s="5">
        <f>Table1[[#This Row],[Quantity]]*Table1[[#This Row],[Unit_Price]]</f>
        <v>270.89</v>
      </c>
      <c r="H187" t="s">
        <v>14</v>
      </c>
    </row>
    <row r="188" spans="1:8" hidden="1">
      <c r="A188" t="s">
        <v>72</v>
      </c>
      <c r="B188" s="2">
        <v>45721</v>
      </c>
      <c r="C188" t="s">
        <v>8</v>
      </c>
      <c r="D188" t="s">
        <v>19</v>
      </c>
      <c r="E188">
        <v>1</v>
      </c>
      <c r="F188" s="5">
        <v>9.2799999999999994</v>
      </c>
      <c r="G188" s="5">
        <f>Table1[[#This Row],[Quantity]]*Table1[[#This Row],[Unit_Price]]</f>
        <v>9.2799999999999994</v>
      </c>
      <c r="H188" t="s">
        <v>10</v>
      </c>
    </row>
    <row r="189" spans="1:8" hidden="1">
      <c r="A189" t="s">
        <v>21</v>
      </c>
      <c r="B189" s="2">
        <v>45876</v>
      </c>
      <c r="C189" t="s">
        <v>12</v>
      </c>
      <c r="D189" t="s">
        <v>19</v>
      </c>
      <c r="E189">
        <v>1</v>
      </c>
      <c r="F189" s="5">
        <v>5.18</v>
      </c>
      <c r="G189" s="5">
        <f>Table1[[#This Row],[Quantity]]*Table1[[#This Row],[Unit_Price]]</f>
        <v>5.18</v>
      </c>
      <c r="H189" t="s">
        <v>23</v>
      </c>
    </row>
    <row r="190" spans="1:8" hidden="1">
      <c r="A190" t="s">
        <v>99</v>
      </c>
      <c r="B190" s="2">
        <v>45872</v>
      </c>
      <c r="C190" t="s">
        <v>8</v>
      </c>
      <c r="D190" t="s">
        <v>323</v>
      </c>
      <c r="E190">
        <v>6</v>
      </c>
      <c r="F190" s="5">
        <v>10.79</v>
      </c>
      <c r="G190" s="5">
        <f>Table1[[#This Row],[Quantity]]*Table1[[#This Row],[Unit_Price]]</f>
        <v>64.739999999999995</v>
      </c>
      <c r="H190" t="s">
        <v>23</v>
      </c>
    </row>
    <row r="191" spans="1:8" hidden="1">
      <c r="A191" t="s">
        <v>68</v>
      </c>
      <c r="B191" s="2">
        <v>45949</v>
      </c>
      <c r="C191" t="s">
        <v>8</v>
      </c>
      <c r="D191" t="s">
        <v>9</v>
      </c>
      <c r="E191">
        <v>7</v>
      </c>
      <c r="F191" s="5">
        <v>11.53</v>
      </c>
      <c r="G191" s="5">
        <f>Table1[[#This Row],[Quantity]]*Table1[[#This Row],[Unit_Price]]</f>
        <v>80.709999999999994</v>
      </c>
      <c r="H191" t="s">
        <v>14</v>
      </c>
    </row>
    <row r="192" spans="1:8" hidden="1">
      <c r="A192" t="s">
        <v>134</v>
      </c>
      <c r="B192" s="2">
        <v>45842</v>
      </c>
      <c r="C192" t="s">
        <v>8</v>
      </c>
      <c r="D192" t="s">
        <v>9</v>
      </c>
      <c r="E192">
        <v>6</v>
      </c>
      <c r="F192" s="5">
        <v>15.84</v>
      </c>
      <c r="G192" s="5">
        <f>Table1[[#This Row],[Quantity]]*Table1[[#This Row],[Unit_Price]]</f>
        <v>95.039999999999992</v>
      </c>
      <c r="H192" t="s">
        <v>14</v>
      </c>
    </row>
    <row r="193" spans="1:8" hidden="1">
      <c r="A193" t="s">
        <v>168</v>
      </c>
      <c r="B193" s="2">
        <v>45781</v>
      </c>
      <c r="C193" t="s">
        <v>8</v>
      </c>
      <c r="D193" t="s">
        <v>38</v>
      </c>
      <c r="E193">
        <v>5</v>
      </c>
      <c r="F193" s="5">
        <v>73.55</v>
      </c>
      <c r="G193" s="5">
        <f>Table1[[#This Row],[Quantity]]*Table1[[#This Row],[Unit_Price]]</f>
        <v>367.75</v>
      </c>
      <c r="H193" t="s">
        <v>51</v>
      </c>
    </row>
    <row r="194" spans="1:8" hidden="1">
      <c r="A194" t="s">
        <v>39</v>
      </c>
      <c r="B194" s="2">
        <v>46028</v>
      </c>
      <c r="C194" t="s">
        <v>12</v>
      </c>
      <c r="D194" t="s">
        <v>13</v>
      </c>
      <c r="E194">
        <v>7</v>
      </c>
      <c r="F194" s="5">
        <v>48.09</v>
      </c>
      <c r="G194" s="5">
        <f>Table1[[#This Row],[Quantity]]*Table1[[#This Row],[Unit_Price]]</f>
        <v>336.63</v>
      </c>
      <c r="H194" t="s">
        <v>323</v>
      </c>
    </row>
    <row r="195" spans="1:8">
      <c r="A195" t="s">
        <v>163</v>
      </c>
      <c r="B195" s="2">
        <v>73050</v>
      </c>
      <c r="C195" t="s">
        <v>12</v>
      </c>
      <c r="D195" t="s">
        <v>19</v>
      </c>
      <c r="E195">
        <v>4</v>
      </c>
      <c r="F195" s="5">
        <v>7.21</v>
      </c>
      <c r="G195" s="5">
        <f>Table1[[#This Row],[Quantity]]*Table1[[#This Row],[Unit_Price]]</f>
        <v>28.84</v>
      </c>
      <c r="H195" t="s">
        <v>16</v>
      </c>
    </row>
    <row r="196" spans="1:8">
      <c r="A196" t="s">
        <v>90</v>
      </c>
      <c r="B196" s="2">
        <v>73050</v>
      </c>
      <c r="C196" t="s">
        <v>12</v>
      </c>
      <c r="D196" t="s">
        <v>13</v>
      </c>
      <c r="E196">
        <v>4</v>
      </c>
      <c r="F196" s="5">
        <v>47.56</v>
      </c>
      <c r="G196" s="5">
        <f>Table1[[#This Row],[Quantity]]*Table1[[#This Row],[Unit_Price]]</f>
        <v>190.24</v>
      </c>
      <c r="H196" t="s">
        <v>10</v>
      </c>
    </row>
    <row r="197" spans="1:8" hidden="1">
      <c r="A197" t="s">
        <v>25</v>
      </c>
      <c r="B197" s="2">
        <v>45950</v>
      </c>
      <c r="C197" t="s">
        <v>12</v>
      </c>
      <c r="D197" t="s">
        <v>19</v>
      </c>
      <c r="E197">
        <v>1</v>
      </c>
      <c r="F197" s="5">
        <v>6.03</v>
      </c>
      <c r="G197" s="5">
        <f>Table1[[#This Row],[Quantity]]*Table1[[#This Row],[Unit_Price]]</f>
        <v>6.03</v>
      </c>
      <c r="H197" t="s">
        <v>10</v>
      </c>
    </row>
    <row r="198" spans="1:8" hidden="1">
      <c r="A198" t="s">
        <v>67</v>
      </c>
      <c r="B198" s="2">
        <v>45778</v>
      </c>
      <c r="C198" t="s">
        <v>12</v>
      </c>
      <c r="D198" t="s">
        <v>27</v>
      </c>
      <c r="E198">
        <v>7</v>
      </c>
      <c r="F198" s="5">
        <v>316.54000000000002</v>
      </c>
      <c r="G198" s="5">
        <f>Table1[[#This Row],[Quantity]]*Table1[[#This Row],[Unit_Price]]</f>
        <v>2215.7800000000002</v>
      </c>
      <c r="H198" t="s">
        <v>16</v>
      </c>
    </row>
    <row r="199" spans="1:8" hidden="1">
      <c r="A199" t="s">
        <v>222</v>
      </c>
      <c r="B199" s="2">
        <v>45947</v>
      </c>
      <c r="C199" t="s">
        <v>8</v>
      </c>
      <c r="D199" t="s">
        <v>9</v>
      </c>
      <c r="E199">
        <v>3</v>
      </c>
      <c r="F199" s="5">
        <v>14.47</v>
      </c>
      <c r="G199" s="5">
        <f>Table1[[#This Row],[Quantity]]*Table1[[#This Row],[Unit_Price]]</f>
        <v>43.410000000000004</v>
      </c>
      <c r="H199" t="s">
        <v>33</v>
      </c>
    </row>
    <row r="200" spans="1:8" hidden="1">
      <c r="A200" t="s">
        <v>250</v>
      </c>
      <c r="B200" s="2">
        <v>46219</v>
      </c>
      <c r="C200" t="s">
        <v>12</v>
      </c>
      <c r="D200" t="s">
        <v>9</v>
      </c>
      <c r="E200">
        <v>2</v>
      </c>
      <c r="F200" s="5">
        <v>13.02</v>
      </c>
      <c r="G200" s="5">
        <f>Table1[[#This Row],[Quantity]]*Table1[[#This Row],[Unit_Price]]</f>
        <v>26.04</v>
      </c>
      <c r="H200" t="s">
        <v>10</v>
      </c>
    </row>
    <row r="201" spans="1:8" hidden="1">
      <c r="A201" t="s">
        <v>139</v>
      </c>
      <c r="B201" s="2">
        <v>46141</v>
      </c>
      <c r="C201" t="s">
        <v>8</v>
      </c>
      <c r="D201" t="s">
        <v>13</v>
      </c>
      <c r="E201">
        <v>8</v>
      </c>
      <c r="F201" s="5">
        <v>60.52</v>
      </c>
      <c r="G201" s="5">
        <f>Table1[[#This Row],[Quantity]]*Table1[[#This Row],[Unit_Price]]</f>
        <v>484.16</v>
      </c>
      <c r="H201" t="s">
        <v>10</v>
      </c>
    </row>
    <row r="202" spans="1:8">
      <c r="A202" t="s">
        <v>81</v>
      </c>
      <c r="B202" s="2">
        <v>73050</v>
      </c>
      <c r="C202" t="s">
        <v>8</v>
      </c>
      <c r="D202" t="s">
        <v>13</v>
      </c>
      <c r="E202">
        <v>3</v>
      </c>
      <c r="F202" s="5">
        <v>39.08</v>
      </c>
      <c r="G202" s="5">
        <f>Table1[[#This Row],[Quantity]]*Table1[[#This Row],[Unit_Price]]</f>
        <v>117.24</v>
      </c>
      <c r="H202" t="s">
        <v>10</v>
      </c>
    </row>
    <row r="203" spans="1:8" hidden="1">
      <c r="A203" t="s">
        <v>42</v>
      </c>
      <c r="B203" s="2">
        <v>46012</v>
      </c>
      <c r="C203" t="s">
        <v>12</v>
      </c>
      <c r="D203" t="s">
        <v>9</v>
      </c>
      <c r="E203">
        <v>30</v>
      </c>
      <c r="F203" s="5">
        <v>23.37</v>
      </c>
      <c r="G203" s="5">
        <f>Table1[[#This Row],[Quantity]]*Table1[[#This Row],[Unit_Price]]</f>
        <v>701.1</v>
      </c>
      <c r="H203" t="s">
        <v>33</v>
      </c>
    </row>
    <row r="204" spans="1:8" hidden="1">
      <c r="A204" t="s">
        <v>199</v>
      </c>
      <c r="B204" s="2">
        <v>46054</v>
      </c>
      <c r="C204" t="s">
        <v>12</v>
      </c>
      <c r="D204" t="s">
        <v>38</v>
      </c>
      <c r="E204">
        <v>8</v>
      </c>
      <c r="F204" s="5">
        <v>120.09</v>
      </c>
      <c r="G204" s="5">
        <f>Table1[[#This Row],[Quantity]]*Table1[[#This Row],[Unit_Price]]</f>
        <v>960.72</v>
      </c>
      <c r="H204" t="s">
        <v>10</v>
      </c>
    </row>
    <row r="205" spans="1:8" hidden="1">
      <c r="A205" t="s">
        <v>153</v>
      </c>
      <c r="B205" s="2">
        <v>45885</v>
      </c>
      <c r="C205" t="s">
        <v>8</v>
      </c>
      <c r="D205" t="s">
        <v>9</v>
      </c>
      <c r="E205">
        <v>2</v>
      </c>
      <c r="F205" s="5">
        <v>16.920000000000002</v>
      </c>
      <c r="G205" s="5">
        <f>Table1[[#This Row],[Quantity]]*Table1[[#This Row],[Unit_Price]]</f>
        <v>33.840000000000003</v>
      </c>
      <c r="H205" t="s">
        <v>323</v>
      </c>
    </row>
    <row r="206" spans="1:8" hidden="1">
      <c r="A206" t="s">
        <v>246</v>
      </c>
      <c r="B206" s="2">
        <v>46088</v>
      </c>
      <c r="C206" t="s">
        <v>8</v>
      </c>
      <c r="D206" t="s">
        <v>19</v>
      </c>
      <c r="E206">
        <v>4</v>
      </c>
      <c r="F206" s="5">
        <v>10.54</v>
      </c>
      <c r="G206" s="5">
        <f>Table1[[#This Row],[Quantity]]*Table1[[#This Row],[Unit_Price]]</f>
        <v>42.16</v>
      </c>
      <c r="H206" t="s">
        <v>10</v>
      </c>
    </row>
    <row r="207" spans="1:8" hidden="1">
      <c r="A207" t="s">
        <v>58</v>
      </c>
      <c r="B207" s="2">
        <v>45799</v>
      </c>
      <c r="C207" t="s">
        <v>12</v>
      </c>
      <c r="D207" t="s">
        <v>38</v>
      </c>
      <c r="E207">
        <v>8</v>
      </c>
      <c r="F207" s="5">
        <v>128.55000000000001</v>
      </c>
      <c r="G207" s="5">
        <f>Table1[[#This Row],[Quantity]]*Table1[[#This Row],[Unit_Price]]</f>
        <v>1028.4000000000001</v>
      </c>
      <c r="H207" t="s">
        <v>16</v>
      </c>
    </row>
    <row r="208" spans="1:8" hidden="1">
      <c r="A208" t="s">
        <v>297</v>
      </c>
      <c r="B208" s="2">
        <v>46083</v>
      </c>
      <c r="C208" t="s">
        <v>8</v>
      </c>
      <c r="D208" t="s">
        <v>27</v>
      </c>
      <c r="E208">
        <v>1</v>
      </c>
      <c r="F208" s="5">
        <v>1008.97</v>
      </c>
      <c r="G208" s="5">
        <f>Table1[[#This Row],[Quantity]]*Table1[[#This Row],[Unit_Price]]</f>
        <v>1008.97</v>
      </c>
      <c r="H208" t="s">
        <v>14</v>
      </c>
    </row>
    <row r="209" spans="1:8" hidden="1">
      <c r="A209" t="s">
        <v>161</v>
      </c>
      <c r="B209" s="2">
        <v>45771</v>
      </c>
      <c r="C209" t="s">
        <v>8</v>
      </c>
      <c r="D209" t="s">
        <v>19</v>
      </c>
      <c r="E209">
        <v>6</v>
      </c>
      <c r="F209" s="5">
        <v>7.33</v>
      </c>
      <c r="G209" s="5">
        <f>Table1[[#This Row],[Quantity]]*Table1[[#This Row],[Unit_Price]]</f>
        <v>43.980000000000004</v>
      </c>
      <c r="H209" t="s">
        <v>10</v>
      </c>
    </row>
    <row r="210" spans="1:8" hidden="1">
      <c r="A210" t="s">
        <v>110</v>
      </c>
      <c r="B210" s="2">
        <v>45973</v>
      </c>
      <c r="C210" t="s">
        <v>12</v>
      </c>
      <c r="D210" t="s">
        <v>38</v>
      </c>
      <c r="E210">
        <v>5</v>
      </c>
      <c r="F210" s="5">
        <v>95.46</v>
      </c>
      <c r="G210" s="5">
        <f>Table1[[#This Row],[Quantity]]*Table1[[#This Row],[Unit_Price]]</f>
        <v>477.29999999999995</v>
      </c>
      <c r="H210" t="s">
        <v>10</v>
      </c>
    </row>
    <row r="211" spans="1:8" hidden="1">
      <c r="A211" t="s">
        <v>300</v>
      </c>
      <c r="B211" s="2">
        <v>46232</v>
      </c>
      <c r="C211" t="s">
        <v>8</v>
      </c>
      <c r="D211" t="s">
        <v>9</v>
      </c>
      <c r="E211">
        <v>5</v>
      </c>
      <c r="F211" s="5">
        <v>13.24</v>
      </c>
      <c r="G211" s="5">
        <f>Table1[[#This Row],[Quantity]]*Table1[[#This Row],[Unit_Price]]</f>
        <v>66.2</v>
      </c>
      <c r="H211" t="s">
        <v>14</v>
      </c>
    </row>
    <row r="212" spans="1:8" hidden="1">
      <c r="A212" t="s">
        <v>69</v>
      </c>
      <c r="B212" s="2">
        <v>45663</v>
      </c>
      <c r="C212" t="s">
        <v>8</v>
      </c>
      <c r="D212" t="s">
        <v>38</v>
      </c>
      <c r="E212">
        <v>5</v>
      </c>
      <c r="F212" s="5">
        <v>118.93</v>
      </c>
      <c r="G212" s="5">
        <f>Table1[[#This Row],[Quantity]]*Table1[[#This Row],[Unit_Price]]</f>
        <v>594.65000000000009</v>
      </c>
      <c r="H212" t="s">
        <v>23</v>
      </c>
    </row>
    <row r="213" spans="1:8" hidden="1">
      <c r="A213" t="s">
        <v>70</v>
      </c>
      <c r="B213" s="2">
        <v>45687</v>
      </c>
      <c r="C213" t="s">
        <v>12</v>
      </c>
      <c r="D213" t="s">
        <v>13</v>
      </c>
      <c r="E213">
        <v>1</v>
      </c>
      <c r="F213" s="5">
        <v>53.33</v>
      </c>
      <c r="G213" s="5">
        <f>Table1[[#This Row],[Quantity]]*Table1[[#This Row],[Unit_Price]]</f>
        <v>53.33</v>
      </c>
      <c r="H213" t="s">
        <v>51</v>
      </c>
    </row>
    <row r="214" spans="1:8" hidden="1">
      <c r="A214" t="s">
        <v>125</v>
      </c>
      <c r="B214" s="2">
        <v>45892</v>
      </c>
      <c r="C214" t="s">
        <v>12</v>
      </c>
      <c r="D214" t="s">
        <v>9</v>
      </c>
      <c r="E214">
        <v>1</v>
      </c>
      <c r="F214" s="5">
        <v>10.73</v>
      </c>
      <c r="G214" s="5">
        <f>Table1[[#This Row],[Quantity]]*Table1[[#This Row],[Unit_Price]]</f>
        <v>10.73</v>
      </c>
      <c r="H214" t="s">
        <v>10</v>
      </c>
    </row>
    <row r="215" spans="1:8" hidden="1">
      <c r="A215" t="s">
        <v>84</v>
      </c>
      <c r="B215" s="2">
        <v>46029</v>
      </c>
      <c r="C215" t="s">
        <v>8</v>
      </c>
      <c r="D215" t="s">
        <v>323</v>
      </c>
      <c r="E215">
        <v>3</v>
      </c>
      <c r="F215" s="5">
        <v>16.579999999999998</v>
      </c>
      <c r="G215" s="5">
        <f>Table1[[#This Row],[Quantity]]*Table1[[#This Row],[Unit_Price]]</f>
        <v>49.739999999999995</v>
      </c>
      <c r="H215" t="s">
        <v>16</v>
      </c>
    </row>
    <row r="216" spans="1:8" hidden="1">
      <c r="A216" t="s">
        <v>102</v>
      </c>
      <c r="B216" s="2">
        <v>45815</v>
      </c>
      <c r="C216" t="s">
        <v>8</v>
      </c>
      <c r="D216" t="s">
        <v>19</v>
      </c>
      <c r="E216">
        <v>3</v>
      </c>
      <c r="F216" s="5">
        <v>1008.97</v>
      </c>
      <c r="G216" s="5">
        <f>Table1[[#This Row],[Quantity]]*Table1[[#This Row],[Unit_Price]]</f>
        <v>3026.91</v>
      </c>
      <c r="H216" t="s">
        <v>10</v>
      </c>
    </row>
    <row r="217" spans="1:8" hidden="1">
      <c r="A217" t="s">
        <v>120</v>
      </c>
      <c r="B217" s="2">
        <v>46012</v>
      </c>
      <c r="C217" t="s">
        <v>8</v>
      </c>
      <c r="D217" t="s">
        <v>323</v>
      </c>
      <c r="E217">
        <v>1</v>
      </c>
      <c r="F217" s="5">
        <v>50.49</v>
      </c>
      <c r="G217" s="5">
        <f>Table1[[#This Row],[Quantity]]*Table1[[#This Row],[Unit_Price]]</f>
        <v>50.49</v>
      </c>
      <c r="H217" t="s">
        <v>33</v>
      </c>
    </row>
    <row r="218" spans="1:8" hidden="1">
      <c r="A218" t="s">
        <v>97</v>
      </c>
      <c r="B218" s="2">
        <v>45754</v>
      </c>
      <c r="C218" t="s">
        <v>12</v>
      </c>
      <c r="D218" t="s">
        <v>19</v>
      </c>
      <c r="E218">
        <v>5</v>
      </c>
      <c r="F218" s="5">
        <v>6.36</v>
      </c>
      <c r="G218" s="5">
        <f>Table1[[#This Row],[Quantity]]*Table1[[#This Row],[Unit_Price]]</f>
        <v>31.8</v>
      </c>
      <c r="H218" t="s">
        <v>33</v>
      </c>
    </row>
    <row r="219" spans="1:8" hidden="1">
      <c r="A219" t="s">
        <v>162</v>
      </c>
      <c r="B219" s="2">
        <v>45944</v>
      </c>
      <c r="C219" t="s">
        <v>12</v>
      </c>
      <c r="D219" t="s">
        <v>13</v>
      </c>
      <c r="E219">
        <v>8</v>
      </c>
      <c r="F219" s="5">
        <v>68.62</v>
      </c>
      <c r="G219" s="5">
        <f>Table1[[#This Row],[Quantity]]*Table1[[#This Row],[Unit_Price]]</f>
        <v>548.96</v>
      </c>
      <c r="H219" t="s">
        <v>10</v>
      </c>
    </row>
    <row r="220" spans="1:8" hidden="1">
      <c r="A220" t="s">
        <v>174</v>
      </c>
      <c r="B220" s="2">
        <v>46222</v>
      </c>
      <c r="C220" t="s">
        <v>8</v>
      </c>
      <c r="D220" t="s">
        <v>38</v>
      </c>
      <c r="E220">
        <v>6</v>
      </c>
      <c r="F220" s="5">
        <v>1008.97</v>
      </c>
      <c r="G220" s="5">
        <f>Table1[[#This Row],[Quantity]]*Table1[[#This Row],[Unit_Price]]</f>
        <v>6053.82</v>
      </c>
      <c r="H220" t="s">
        <v>10</v>
      </c>
    </row>
    <row r="221" spans="1:8" hidden="1">
      <c r="A221" t="s">
        <v>180</v>
      </c>
      <c r="B221" s="2">
        <v>45777</v>
      </c>
      <c r="C221" t="s">
        <v>12</v>
      </c>
      <c r="D221" t="s">
        <v>27</v>
      </c>
      <c r="E221">
        <v>4</v>
      </c>
      <c r="F221" s="5">
        <v>171.79</v>
      </c>
      <c r="G221" s="5">
        <f>Table1[[#This Row],[Quantity]]*Table1[[#This Row],[Unit_Price]]</f>
        <v>687.16</v>
      </c>
      <c r="H221" t="s">
        <v>51</v>
      </c>
    </row>
    <row r="222" spans="1:8" hidden="1">
      <c r="A222" t="s">
        <v>277</v>
      </c>
      <c r="B222" s="2">
        <v>45735</v>
      </c>
      <c r="C222" t="s">
        <v>8</v>
      </c>
      <c r="D222" t="s">
        <v>27</v>
      </c>
      <c r="E222">
        <v>2</v>
      </c>
      <c r="F222" s="5">
        <v>157.30000000000001</v>
      </c>
      <c r="G222" s="5">
        <f>Table1[[#This Row],[Quantity]]*Table1[[#This Row],[Unit_Price]]</f>
        <v>314.60000000000002</v>
      </c>
      <c r="H222" t="s">
        <v>10</v>
      </c>
    </row>
    <row r="223" spans="1:8" hidden="1">
      <c r="A223" t="s">
        <v>287</v>
      </c>
      <c r="B223" s="2">
        <v>45709</v>
      </c>
      <c r="C223" t="s">
        <v>8</v>
      </c>
      <c r="D223" t="s">
        <v>27</v>
      </c>
      <c r="E223">
        <v>7</v>
      </c>
      <c r="F223" s="5">
        <v>148.72999999999999</v>
      </c>
      <c r="G223" s="5">
        <f>Table1[[#This Row],[Quantity]]*Table1[[#This Row],[Unit_Price]]</f>
        <v>1041.1099999999999</v>
      </c>
      <c r="H223" t="s">
        <v>10</v>
      </c>
    </row>
    <row r="224" spans="1:8" hidden="1">
      <c r="A224" t="s">
        <v>107</v>
      </c>
      <c r="B224" s="2">
        <v>45946</v>
      </c>
      <c r="C224" t="s">
        <v>12</v>
      </c>
      <c r="D224" t="s">
        <v>9</v>
      </c>
      <c r="E224">
        <v>4</v>
      </c>
      <c r="F224" s="5">
        <v>23.96</v>
      </c>
      <c r="G224" s="5">
        <f>Table1[[#This Row],[Quantity]]*Table1[[#This Row],[Unit_Price]]</f>
        <v>95.84</v>
      </c>
      <c r="H224" t="s">
        <v>10</v>
      </c>
    </row>
    <row r="225" spans="1:8" hidden="1">
      <c r="A225" t="s">
        <v>219</v>
      </c>
      <c r="B225" s="2">
        <v>46116</v>
      </c>
      <c r="C225" t="s">
        <v>12</v>
      </c>
      <c r="D225" t="s">
        <v>13</v>
      </c>
      <c r="E225">
        <v>2</v>
      </c>
      <c r="F225" s="5">
        <v>1008.97</v>
      </c>
      <c r="G225" s="5">
        <f>Table1[[#This Row],[Quantity]]*Table1[[#This Row],[Unit_Price]]</f>
        <v>2017.94</v>
      </c>
      <c r="H225" t="s">
        <v>14</v>
      </c>
    </row>
    <row r="226" spans="1:8">
      <c r="A226" t="s">
        <v>53</v>
      </c>
      <c r="B226" s="2">
        <v>73050</v>
      </c>
      <c r="C226" t="s">
        <v>8</v>
      </c>
      <c r="D226" t="s">
        <v>27</v>
      </c>
      <c r="E226">
        <v>5</v>
      </c>
      <c r="F226" s="5">
        <v>141.30000000000001</v>
      </c>
      <c r="G226" s="5">
        <f>Table1[[#This Row],[Quantity]]*Table1[[#This Row],[Unit_Price]]</f>
        <v>706.5</v>
      </c>
      <c r="H226" t="s">
        <v>51</v>
      </c>
    </row>
    <row r="227" spans="1:8" hidden="1">
      <c r="A227" t="s">
        <v>188</v>
      </c>
      <c r="B227" s="2">
        <v>45876</v>
      </c>
      <c r="C227" t="s">
        <v>8</v>
      </c>
      <c r="D227" t="s">
        <v>9</v>
      </c>
      <c r="E227">
        <v>2</v>
      </c>
      <c r="F227" s="5">
        <v>26.91</v>
      </c>
      <c r="G227" s="5">
        <f>Table1[[#This Row],[Quantity]]*Table1[[#This Row],[Unit_Price]]</f>
        <v>53.82</v>
      </c>
      <c r="H227" t="s">
        <v>14</v>
      </c>
    </row>
    <row r="228" spans="1:8" hidden="1">
      <c r="A228" t="s">
        <v>303</v>
      </c>
      <c r="B228" s="2">
        <v>46117</v>
      </c>
      <c r="C228" t="s">
        <v>8</v>
      </c>
      <c r="D228" t="s">
        <v>27</v>
      </c>
      <c r="E228">
        <v>3</v>
      </c>
      <c r="F228" s="5">
        <v>222.71</v>
      </c>
      <c r="G228" s="5">
        <f>Table1[[#This Row],[Quantity]]*Table1[[#This Row],[Unit_Price]]</f>
        <v>668.13</v>
      </c>
      <c r="H228" t="s">
        <v>10</v>
      </c>
    </row>
    <row r="229" spans="1:8" hidden="1">
      <c r="A229" t="s">
        <v>274</v>
      </c>
      <c r="B229" s="2">
        <v>45694</v>
      </c>
      <c r="C229" t="s">
        <v>12</v>
      </c>
      <c r="D229" t="s">
        <v>9</v>
      </c>
      <c r="E229">
        <v>2</v>
      </c>
      <c r="F229" s="5">
        <v>24.06</v>
      </c>
      <c r="G229" s="5">
        <f>Table1[[#This Row],[Quantity]]*Table1[[#This Row],[Unit_Price]]</f>
        <v>48.12</v>
      </c>
      <c r="H229" t="s">
        <v>10</v>
      </c>
    </row>
    <row r="230" spans="1:8" hidden="1">
      <c r="A230" t="s">
        <v>88</v>
      </c>
      <c r="B230" s="2">
        <v>45706</v>
      </c>
      <c r="C230" t="s">
        <v>12</v>
      </c>
      <c r="D230" t="s">
        <v>13</v>
      </c>
      <c r="E230">
        <v>6</v>
      </c>
      <c r="F230" s="5">
        <v>34.22</v>
      </c>
      <c r="G230" s="5">
        <f>Table1[[#This Row],[Quantity]]*Table1[[#This Row],[Unit_Price]]</f>
        <v>205.32</v>
      </c>
      <c r="H230" t="s">
        <v>51</v>
      </c>
    </row>
    <row r="231" spans="1:8" hidden="1">
      <c r="A231" t="s">
        <v>54</v>
      </c>
      <c r="B231" s="2">
        <v>45702</v>
      </c>
      <c r="C231" t="s">
        <v>8</v>
      </c>
      <c r="D231" t="s">
        <v>323</v>
      </c>
      <c r="E231">
        <v>2</v>
      </c>
      <c r="F231" s="5">
        <v>27.15</v>
      </c>
      <c r="G231" s="5">
        <f>Table1[[#This Row],[Quantity]]*Table1[[#This Row],[Unit_Price]]</f>
        <v>54.3</v>
      </c>
      <c r="H231" t="s">
        <v>10</v>
      </c>
    </row>
    <row r="232" spans="1:8" hidden="1">
      <c r="A232" t="s">
        <v>40</v>
      </c>
      <c r="B232" s="2">
        <v>46083</v>
      </c>
      <c r="C232" t="s">
        <v>12</v>
      </c>
      <c r="D232" t="s">
        <v>19</v>
      </c>
      <c r="E232">
        <v>2</v>
      </c>
      <c r="F232" s="5">
        <v>10.43</v>
      </c>
      <c r="G232" s="5">
        <f>Table1[[#This Row],[Quantity]]*Table1[[#This Row],[Unit_Price]]</f>
        <v>20.86</v>
      </c>
      <c r="H232" t="s">
        <v>10</v>
      </c>
    </row>
    <row r="233" spans="1:8" hidden="1">
      <c r="A233" t="s">
        <v>175</v>
      </c>
      <c r="B233" s="2">
        <v>45830</v>
      </c>
      <c r="C233" t="s">
        <v>12</v>
      </c>
      <c r="D233" t="s">
        <v>9</v>
      </c>
      <c r="E233">
        <v>1</v>
      </c>
      <c r="F233" s="5">
        <v>15.51</v>
      </c>
      <c r="G233" s="5">
        <f>Table1[[#This Row],[Quantity]]*Table1[[#This Row],[Unit_Price]]</f>
        <v>15.51</v>
      </c>
      <c r="H233" t="s">
        <v>10</v>
      </c>
    </row>
    <row r="234" spans="1:8" hidden="1">
      <c r="A234" t="s">
        <v>182</v>
      </c>
      <c r="B234" s="2">
        <v>45867</v>
      </c>
      <c r="C234" t="s">
        <v>12</v>
      </c>
      <c r="D234" t="s">
        <v>9</v>
      </c>
      <c r="E234">
        <v>2</v>
      </c>
      <c r="F234" s="5">
        <v>26.75</v>
      </c>
      <c r="G234" s="5">
        <f>Table1[[#This Row],[Quantity]]*Table1[[#This Row],[Unit_Price]]</f>
        <v>53.5</v>
      </c>
      <c r="H234" t="s">
        <v>14</v>
      </c>
    </row>
    <row r="235" spans="1:8" hidden="1">
      <c r="A235" t="s">
        <v>123</v>
      </c>
      <c r="B235" s="2">
        <v>46233</v>
      </c>
      <c r="C235" t="s">
        <v>12</v>
      </c>
      <c r="D235" t="s">
        <v>27</v>
      </c>
      <c r="E235">
        <v>8</v>
      </c>
      <c r="F235" s="5">
        <v>166.03</v>
      </c>
      <c r="G235" s="5">
        <f>Table1[[#This Row],[Quantity]]*Table1[[#This Row],[Unit_Price]]</f>
        <v>1328.24</v>
      </c>
      <c r="H235" t="s">
        <v>10</v>
      </c>
    </row>
    <row r="236" spans="1:8" hidden="1">
      <c r="A236" t="s">
        <v>112</v>
      </c>
      <c r="B236" s="2">
        <v>46111</v>
      </c>
      <c r="C236" t="s">
        <v>8</v>
      </c>
      <c r="D236" t="s">
        <v>323</v>
      </c>
      <c r="E236">
        <v>6</v>
      </c>
      <c r="F236" s="5">
        <v>19.32</v>
      </c>
      <c r="G236" s="5">
        <f>Table1[[#This Row],[Quantity]]*Table1[[#This Row],[Unit_Price]]</f>
        <v>115.92</v>
      </c>
      <c r="H236" t="s">
        <v>51</v>
      </c>
    </row>
    <row r="237" spans="1:8" hidden="1">
      <c r="A237" t="s">
        <v>284</v>
      </c>
      <c r="B237" s="2">
        <v>45908</v>
      </c>
      <c r="C237" t="s">
        <v>8</v>
      </c>
      <c r="D237" t="s">
        <v>38</v>
      </c>
      <c r="E237">
        <v>3</v>
      </c>
      <c r="F237" s="5">
        <v>103.71</v>
      </c>
      <c r="G237" s="5">
        <f>Table1[[#This Row],[Quantity]]*Table1[[#This Row],[Unit_Price]]</f>
        <v>311.13</v>
      </c>
      <c r="H237" t="s">
        <v>10</v>
      </c>
    </row>
    <row r="238" spans="1:8" hidden="1">
      <c r="A238" t="s">
        <v>243</v>
      </c>
      <c r="B238" s="2">
        <v>45955</v>
      </c>
      <c r="C238" t="s">
        <v>12</v>
      </c>
      <c r="D238" t="s">
        <v>19</v>
      </c>
      <c r="E238">
        <v>8</v>
      </c>
      <c r="F238" s="5">
        <v>8.06</v>
      </c>
      <c r="G238" s="5">
        <f>Table1[[#This Row],[Quantity]]*Table1[[#This Row],[Unit_Price]]</f>
        <v>64.48</v>
      </c>
      <c r="H238" t="s">
        <v>14</v>
      </c>
    </row>
    <row r="239" spans="1:8" hidden="1">
      <c r="A239" t="s">
        <v>232</v>
      </c>
      <c r="B239" s="2">
        <v>45836</v>
      </c>
      <c r="C239" t="s">
        <v>8</v>
      </c>
      <c r="D239" t="s">
        <v>27</v>
      </c>
      <c r="E239">
        <v>1</v>
      </c>
      <c r="F239" s="5">
        <v>238.71</v>
      </c>
      <c r="G239" s="5">
        <f>Table1[[#This Row],[Quantity]]*Table1[[#This Row],[Unit_Price]]</f>
        <v>238.71</v>
      </c>
      <c r="H239" t="s">
        <v>14</v>
      </c>
    </row>
    <row r="240" spans="1:8" hidden="1">
      <c r="A240" t="s">
        <v>256</v>
      </c>
      <c r="B240" s="2">
        <v>45977</v>
      </c>
      <c r="C240" t="s">
        <v>12</v>
      </c>
      <c r="D240" t="s">
        <v>13</v>
      </c>
      <c r="E240">
        <v>2</v>
      </c>
      <c r="F240" s="5">
        <v>52.79</v>
      </c>
      <c r="G240" s="5">
        <f>Table1[[#This Row],[Quantity]]*Table1[[#This Row],[Unit_Price]]</f>
        <v>105.58</v>
      </c>
      <c r="H240" t="s">
        <v>23</v>
      </c>
    </row>
    <row r="241" spans="1:8" hidden="1">
      <c r="A241" t="s">
        <v>77</v>
      </c>
      <c r="B241" s="2">
        <v>45917</v>
      </c>
      <c r="C241" t="s">
        <v>12</v>
      </c>
      <c r="D241" t="s">
        <v>9</v>
      </c>
      <c r="E241">
        <v>1</v>
      </c>
      <c r="F241" s="5">
        <v>23.87</v>
      </c>
      <c r="G241" s="5">
        <f>Table1[[#This Row],[Quantity]]*Table1[[#This Row],[Unit_Price]]</f>
        <v>23.87</v>
      </c>
      <c r="H241" t="s">
        <v>10</v>
      </c>
    </row>
    <row r="242" spans="1:8" hidden="1">
      <c r="A242" t="s">
        <v>82</v>
      </c>
      <c r="B242" s="2">
        <v>45858</v>
      </c>
      <c r="C242" t="s">
        <v>12</v>
      </c>
      <c r="D242" t="s">
        <v>19</v>
      </c>
      <c r="E242">
        <v>4</v>
      </c>
      <c r="F242" s="5">
        <v>7.95</v>
      </c>
      <c r="G242" s="5">
        <f>Table1[[#This Row],[Quantity]]*Table1[[#This Row],[Unit_Price]]</f>
        <v>31.8</v>
      </c>
      <c r="H242" t="s">
        <v>23</v>
      </c>
    </row>
    <row r="243" spans="1:8" hidden="1">
      <c r="A243" t="s">
        <v>178</v>
      </c>
      <c r="B243" s="2">
        <v>46214</v>
      </c>
      <c r="C243" t="s">
        <v>8</v>
      </c>
      <c r="D243" t="s">
        <v>9</v>
      </c>
      <c r="E243">
        <v>8</v>
      </c>
      <c r="F243" s="5">
        <v>11.15</v>
      </c>
      <c r="G243" s="5">
        <f>Table1[[#This Row],[Quantity]]*Table1[[#This Row],[Unit_Price]]</f>
        <v>89.2</v>
      </c>
      <c r="H243" t="s">
        <v>51</v>
      </c>
    </row>
    <row r="244" spans="1:8" hidden="1">
      <c r="A244" t="s">
        <v>197</v>
      </c>
      <c r="B244" s="2">
        <v>45828</v>
      </c>
      <c r="C244" t="s">
        <v>12</v>
      </c>
      <c r="D244" t="s">
        <v>38</v>
      </c>
      <c r="E244">
        <v>1</v>
      </c>
      <c r="F244" s="5">
        <v>72.260000000000005</v>
      </c>
      <c r="G244" s="5">
        <f>Table1[[#This Row],[Quantity]]*Table1[[#This Row],[Unit_Price]]</f>
        <v>72.260000000000005</v>
      </c>
      <c r="H244" t="s">
        <v>14</v>
      </c>
    </row>
    <row r="245" spans="1:8" hidden="1">
      <c r="A245" t="s">
        <v>20</v>
      </c>
      <c r="B245" s="2">
        <v>45828</v>
      </c>
      <c r="C245" t="s">
        <v>12</v>
      </c>
      <c r="D245" t="s">
        <v>9</v>
      </c>
      <c r="E245">
        <v>6</v>
      </c>
      <c r="F245" s="5">
        <v>15.41</v>
      </c>
      <c r="G245" s="5">
        <f>Table1[[#This Row],[Quantity]]*Table1[[#This Row],[Unit_Price]]</f>
        <v>92.460000000000008</v>
      </c>
      <c r="H245" t="s">
        <v>10</v>
      </c>
    </row>
    <row r="246" spans="1:8" hidden="1">
      <c r="A246" t="s">
        <v>143</v>
      </c>
      <c r="B246" s="2">
        <v>45951</v>
      </c>
      <c r="C246" t="s">
        <v>12</v>
      </c>
      <c r="D246" t="s">
        <v>9</v>
      </c>
      <c r="E246">
        <v>5</v>
      </c>
      <c r="F246" s="5">
        <v>27.9</v>
      </c>
      <c r="G246" s="5">
        <f>Table1[[#This Row],[Quantity]]*Table1[[#This Row],[Unit_Price]]</f>
        <v>139.5</v>
      </c>
      <c r="H246" t="s">
        <v>51</v>
      </c>
    </row>
    <row r="247" spans="1:8" hidden="1">
      <c r="A247" t="s">
        <v>281</v>
      </c>
      <c r="B247" s="2">
        <v>45938</v>
      </c>
      <c r="C247" t="s">
        <v>12</v>
      </c>
      <c r="D247" t="s">
        <v>9</v>
      </c>
      <c r="E247">
        <v>3</v>
      </c>
      <c r="F247" s="5">
        <v>26.08</v>
      </c>
      <c r="G247" s="5">
        <f>Table1[[#This Row],[Quantity]]*Table1[[#This Row],[Unit_Price]]</f>
        <v>78.239999999999995</v>
      </c>
      <c r="H247" t="s">
        <v>10</v>
      </c>
    </row>
    <row r="248" spans="1:8" hidden="1">
      <c r="A248" t="s">
        <v>233</v>
      </c>
      <c r="B248" s="2">
        <v>45725</v>
      </c>
      <c r="C248" t="s">
        <v>12</v>
      </c>
      <c r="D248" t="s">
        <v>27</v>
      </c>
      <c r="E248">
        <v>1</v>
      </c>
      <c r="F248" s="5">
        <v>225.04</v>
      </c>
      <c r="G248" s="5">
        <f>Table1[[#This Row],[Quantity]]*Table1[[#This Row],[Unit_Price]]</f>
        <v>225.04</v>
      </c>
      <c r="H248" t="s">
        <v>10</v>
      </c>
    </row>
    <row r="249" spans="1:8" hidden="1">
      <c r="A249" t="s">
        <v>273</v>
      </c>
      <c r="B249" s="2">
        <v>45781</v>
      </c>
      <c r="C249" t="s">
        <v>12</v>
      </c>
      <c r="D249" t="s">
        <v>38</v>
      </c>
      <c r="E249">
        <v>3</v>
      </c>
      <c r="F249" s="5">
        <v>95.25</v>
      </c>
      <c r="G249" s="5">
        <f>Table1[[#This Row],[Quantity]]*Table1[[#This Row],[Unit_Price]]</f>
        <v>285.75</v>
      </c>
      <c r="H249" t="s">
        <v>16</v>
      </c>
    </row>
    <row r="250" spans="1:8" hidden="1">
      <c r="A250" t="s">
        <v>231</v>
      </c>
      <c r="B250" s="2">
        <v>46140</v>
      </c>
      <c r="C250" t="s">
        <v>8</v>
      </c>
      <c r="D250" t="s">
        <v>13</v>
      </c>
      <c r="E250">
        <v>8</v>
      </c>
      <c r="F250" s="5">
        <v>38.53</v>
      </c>
      <c r="G250" s="5">
        <f>Table1[[#This Row],[Quantity]]*Table1[[#This Row],[Unit_Price]]</f>
        <v>308.24</v>
      </c>
      <c r="H250" t="s">
        <v>10</v>
      </c>
    </row>
    <row r="251" spans="1:8" hidden="1">
      <c r="A251" t="s">
        <v>83</v>
      </c>
      <c r="B251" s="2">
        <v>45731</v>
      </c>
      <c r="C251" t="s">
        <v>8</v>
      </c>
      <c r="D251" t="s">
        <v>19</v>
      </c>
      <c r="E251">
        <v>5</v>
      </c>
      <c r="F251" s="5">
        <v>5.58</v>
      </c>
      <c r="G251" s="5">
        <f>Table1[[#This Row],[Quantity]]*Table1[[#This Row],[Unit_Price]]</f>
        <v>27.9</v>
      </c>
      <c r="H251" t="s">
        <v>16</v>
      </c>
    </row>
    <row r="252" spans="1:8" hidden="1">
      <c r="A252" t="s">
        <v>106</v>
      </c>
      <c r="B252" s="2">
        <v>45892</v>
      </c>
      <c r="C252" t="s">
        <v>8</v>
      </c>
      <c r="D252" t="s">
        <v>9</v>
      </c>
      <c r="E252">
        <v>8</v>
      </c>
      <c r="F252" s="5">
        <v>25.74</v>
      </c>
      <c r="G252" s="5">
        <f>Table1[[#This Row],[Quantity]]*Table1[[#This Row],[Unit_Price]]</f>
        <v>205.92</v>
      </c>
      <c r="H252" t="s">
        <v>10</v>
      </c>
    </row>
    <row r="253" spans="1:8" hidden="1">
      <c r="A253" t="s">
        <v>203</v>
      </c>
      <c r="B253" s="2">
        <v>46020</v>
      </c>
      <c r="C253" t="s">
        <v>12</v>
      </c>
      <c r="D253" t="s">
        <v>13</v>
      </c>
      <c r="E253">
        <v>8</v>
      </c>
      <c r="F253" s="5">
        <v>39.08</v>
      </c>
      <c r="G253" s="5">
        <f>Table1[[#This Row],[Quantity]]*Table1[[#This Row],[Unit_Price]]</f>
        <v>312.64</v>
      </c>
      <c r="H253" t="s">
        <v>14</v>
      </c>
    </row>
    <row r="254" spans="1:8" hidden="1">
      <c r="A254" t="s">
        <v>37</v>
      </c>
      <c r="B254" s="2">
        <v>45950</v>
      </c>
      <c r="C254" t="s">
        <v>8</v>
      </c>
      <c r="D254" t="s">
        <v>38</v>
      </c>
      <c r="E254">
        <v>5</v>
      </c>
      <c r="F254" s="5">
        <v>55.83</v>
      </c>
      <c r="G254" s="5">
        <f>Table1[[#This Row],[Quantity]]*Table1[[#This Row],[Unit_Price]]</f>
        <v>279.14999999999998</v>
      </c>
      <c r="H254" t="s">
        <v>10</v>
      </c>
    </row>
    <row r="255" spans="1:8" hidden="1">
      <c r="A255" t="s">
        <v>137</v>
      </c>
      <c r="B255" s="2">
        <v>45854</v>
      </c>
      <c r="C255" t="s">
        <v>12</v>
      </c>
      <c r="D255" t="s">
        <v>27</v>
      </c>
      <c r="E255">
        <v>3</v>
      </c>
      <c r="F255" s="5">
        <v>318.94</v>
      </c>
      <c r="G255" s="5">
        <f>Table1[[#This Row],[Quantity]]*Table1[[#This Row],[Unit_Price]]</f>
        <v>956.81999999999994</v>
      </c>
      <c r="H255" t="s">
        <v>14</v>
      </c>
    </row>
    <row r="256" spans="1:8" hidden="1">
      <c r="A256" t="s">
        <v>108</v>
      </c>
      <c r="B256" s="2">
        <v>45740</v>
      </c>
      <c r="C256" t="s">
        <v>8</v>
      </c>
      <c r="D256" t="s">
        <v>38</v>
      </c>
      <c r="E256">
        <v>1</v>
      </c>
      <c r="F256" s="5">
        <v>60.98</v>
      </c>
      <c r="G256" s="5">
        <f>Table1[[#This Row],[Quantity]]*Table1[[#This Row],[Unit_Price]]</f>
        <v>60.98</v>
      </c>
      <c r="H256" t="s">
        <v>10</v>
      </c>
    </row>
    <row r="257" spans="1:8" hidden="1">
      <c r="A257" t="s">
        <v>11</v>
      </c>
      <c r="B257" s="2">
        <v>46141</v>
      </c>
      <c r="C257" t="s">
        <v>12</v>
      </c>
      <c r="D257" t="s">
        <v>13</v>
      </c>
      <c r="E257">
        <v>8</v>
      </c>
      <c r="F257" s="5">
        <v>28.52</v>
      </c>
      <c r="G257" s="5">
        <f>Table1[[#This Row],[Quantity]]*Table1[[#This Row],[Unit_Price]]</f>
        <v>228.16</v>
      </c>
      <c r="H257" t="s">
        <v>14</v>
      </c>
    </row>
    <row r="258" spans="1:8" hidden="1">
      <c r="A258" t="s">
        <v>71</v>
      </c>
      <c r="B258" s="2">
        <v>45916</v>
      </c>
      <c r="C258" t="s">
        <v>8</v>
      </c>
      <c r="D258" t="s">
        <v>9</v>
      </c>
      <c r="E258">
        <v>5</v>
      </c>
      <c r="F258" s="5">
        <v>13.61</v>
      </c>
      <c r="G258" s="5">
        <f>Table1[[#This Row],[Quantity]]*Table1[[#This Row],[Unit_Price]]</f>
        <v>68.05</v>
      </c>
      <c r="H258" t="s">
        <v>16</v>
      </c>
    </row>
    <row r="259" spans="1:8" hidden="1">
      <c r="A259" t="s">
        <v>122</v>
      </c>
      <c r="B259" s="2">
        <v>45802</v>
      </c>
      <c r="C259" t="s">
        <v>8</v>
      </c>
      <c r="D259" t="s">
        <v>9</v>
      </c>
      <c r="E259">
        <v>1</v>
      </c>
      <c r="F259" s="5">
        <v>21.37</v>
      </c>
      <c r="G259" s="5">
        <f>Table1[[#This Row],[Quantity]]*Table1[[#This Row],[Unit_Price]]</f>
        <v>21.37</v>
      </c>
      <c r="H259" t="s">
        <v>10</v>
      </c>
    </row>
    <row r="260" spans="1:8" hidden="1">
      <c r="A260" t="s">
        <v>86</v>
      </c>
      <c r="B260" s="2">
        <v>46061</v>
      </c>
      <c r="C260" t="s">
        <v>8</v>
      </c>
      <c r="D260" t="s">
        <v>38</v>
      </c>
      <c r="E260">
        <v>3</v>
      </c>
      <c r="F260" s="5">
        <v>128.13999999999999</v>
      </c>
      <c r="G260" s="5">
        <f>Table1[[#This Row],[Quantity]]*Table1[[#This Row],[Unit_Price]]</f>
        <v>384.41999999999996</v>
      </c>
      <c r="H260" t="s">
        <v>10</v>
      </c>
    </row>
    <row r="261" spans="1:8" hidden="1">
      <c r="A261" t="s">
        <v>215</v>
      </c>
      <c r="B261" s="2">
        <v>46023</v>
      </c>
      <c r="C261" t="s">
        <v>8</v>
      </c>
      <c r="D261" t="s">
        <v>19</v>
      </c>
      <c r="E261">
        <v>4</v>
      </c>
      <c r="F261" s="5">
        <v>1008.97</v>
      </c>
      <c r="G261" s="5">
        <f>Table1[[#This Row],[Quantity]]*Table1[[#This Row],[Unit_Price]]</f>
        <v>4035.88</v>
      </c>
      <c r="H261" t="s">
        <v>10</v>
      </c>
    </row>
    <row r="262" spans="1:8" hidden="1">
      <c r="A262" t="s">
        <v>105</v>
      </c>
      <c r="B262" s="2">
        <v>45673</v>
      </c>
      <c r="C262" t="s">
        <v>12</v>
      </c>
      <c r="D262" t="s">
        <v>9</v>
      </c>
      <c r="E262">
        <v>8</v>
      </c>
      <c r="F262" s="5">
        <v>18.09</v>
      </c>
      <c r="G262" s="5">
        <f>Table1[[#This Row],[Quantity]]*Table1[[#This Row],[Unit_Price]]</f>
        <v>144.72</v>
      </c>
      <c r="H262" t="s">
        <v>33</v>
      </c>
    </row>
    <row r="263" spans="1:8" hidden="1">
      <c r="A263" t="s">
        <v>62</v>
      </c>
      <c r="B263" s="2">
        <v>45699</v>
      </c>
      <c r="C263" t="s">
        <v>8</v>
      </c>
      <c r="D263" t="s">
        <v>9</v>
      </c>
      <c r="E263">
        <v>2</v>
      </c>
      <c r="F263" s="5">
        <v>11.46</v>
      </c>
      <c r="G263" s="5">
        <f>Table1[[#This Row],[Quantity]]*Table1[[#This Row],[Unit_Price]]</f>
        <v>22.92</v>
      </c>
      <c r="H263" t="s">
        <v>14</v>
      </c>
    </row>
    <row r="264" spans="1:8" hidden="1">
      <c r="A264" t="s">
        <v>240</v>
      </c>
      <c r="B264" s="2">
        <v>45825</v>
      </c>
      <c r="C264" t="s">
        <v>12</v>
      </c>
      <c r="D264" t="s">
        <v>27</v>
      </c>
      <c r="E264">
        <v>3</v>
      </c>
      <c r="F264" s="5">
        <v>2013</v>
      </c>
      <c r="G264" s="5">
        <f>Table1[[#This Row],[Quantity]]*Table1[[#This Row],[Unit_Price]]</f>
        <v>6039</v>
      </c>
      <c r="H264" t="s">
        <v>323</v>
      </c>
    </row>
    <row r="265" spans="1:8" hidden="1">
      <c r="A265" t="s">
        <v>275</v>
      </c>
      <c r="B265" s="2">
        <v>46131</v>
      </c>
      <c r="C265" t="s">
        <v>12</v>
      </c>
      <c r="D265" t="s">
        <v>38</v>
      </c>
      <c r="E265">
        <v>5</v>
      </c>
      <c r="F265" s="5">
        <v>93.44</v>
      </c>
      <c r="G265" s="5">
        <f>Table1[[#This Row],[Quantity]]*Table1[[#This Row],[Unit_Price]]</f>
        <v>467.2</v>
      </c>
      <c r="H265" t="s">
        <v>14</v>
      </c>
    </row>
    <row r="266" spans="1:8" hidden="1">
      <c r="A266" t="s">
        <v>224</v>
      </c>
      <c r="B266" s="2">
        <v>45946</v>
      </c>
      <c r="C266" t="s">
        <v>12</v>
      </c>
      <c r="D266" t="s">
        <v>27</v>
      </c>
      <c r="E266">
        <v>1</v>
      </c>
      <c r="F266" s="5">
        <v>247.82</v>
      </c>
      <c r="G266" s="5">
        <f>Table1[[#This Row],[Quantity]]*Table1[[#This Row],[Unit_Price]]</f>
        <v>247.82</v>
      </c>
      <c r="H266" t="s">
        <v>323</v>
      </c>
    </row>
    <row r="267" spans="1:8" hidden="1">
      <c r="A267" t="s">
        <v>166</v>
      </c>
      <c r="B267" s="2">
        <v>46198</v>
      </c>
      <c r="C267" t="s">
        <v>12</v>
      </c>
      <c r="D267" t="s">
        <v>9</v>
      </c>
      <c r="E267">
        <v>1</v>
      </c>
      <c r="F267" s="5">
        <v>18.18</v>
      </c>
      <c r="G267" s="5">
        <f>Table1[[#This Row],[Quantity]]*Table1[[#This Row],[Unit_Price]]</f>
        <v>18.18</v>
      </c>
      <c r="H267" t="s">
        <v>14</v>
      </c>
    </row>
    <row r="268" spans="1:8" hidden="1">
      <c r="A268" t="s">
        <v>118</v>
      </c>
      <c r="B268" s="2">
        <v>46111</v>
      </c>
      <c r="C268" t="s">
        <v>12</v>
      </c>
      <c r="D268" t="s">
        <v>27</v>
      </c>
      <c r="E268">
        <v>8</v>
      </c>
      <c r="F268" s="5">
        <v>1008.97</v>
      </c>
      <c r="G268" s="5">
        <f>Table1[[#This Row],[Quantity]]*Table1[[#This Row],[Unit_Price]]</f>
        <v>8071.76</v>
      </c>
      <c r="H268" t="s">
        <v>16</v>
      </c>
    </row>
    <row r="269" spans="1:8" hidden="1">
      <c r="A269" t="s">
        <v>28</v>
      </c>
      <c r="B269" s="2">
        <v>45881</v>
      </c>
      <c r="C269" t="s">
        <v>12</v>
      </c>
      <c r="D269" t="s">
        <v>27</v>
      </c>
      <c r="E269">
        <v>1</v>
      </c>
      <c r="F269" s="5">
        <v>182.27</v>
      </c>
      <c r="G269" s="5">
        <f>Table1[[#This Row],[Quantity]]*Table1[[#This Row],[Unit_Price]]</f>
        <v>182.27</v>
      </c>
      <c r="H269" t="s">
        <v>14</v>
      </c>
    </row>
    <row r="270" spans="1:8" hidden="1">
      <c r="A270" t="s">
        <v>129</v>
      </c>
      <c r="B270" s="2">
        <v>45678</v>
      </c>
      <c r="C270" t="s">
        <v>8</v>
      </c>
      <c r="D270" t="s">
        <v>9</v>
      </c>
      <c r="E270">
        <v>6</v>
      </c>
      <c r="F270" s="5">
        <v>28.43</v>
      </c>
      <c r="G270" s="5">
        <f>Table1[[#This Row],[Quantity]]*Table1[[#This Row],[Unit_Price]]</f>
        <v>170.57999999999998</v>
      </c>
      <c r="H270" t="s">
        <v>10</v>
      </c>
    </row>
    <row r="271" spans="1:8" hidden="1">
      <c r="A271" t="s">
        <v>49</v>
      </c>
      <c r="B271" s="2">
        <v>46185</v>
      </c>
      <c r="C271" t="s">
        <v>12</v>
      </c>
      <c r="D271" t="s">
        <v>13</v>
      </c>
      <c r="E271">
        <v>1</v>
      </c>
      <c r="F271" s="5">
        <v>49.58</v>
      </c>
      <c r="G271" s="5">
        <f>Table1[[#This Row],[Quantity]]*Table1[[#This Row],[Unit_Price]]</f>
        <v>49.58</v>
      </c>
      <c r="H271" t="s">
        <v>51</v>
      </c>
    </row>
    <row r="272" spans="1:8" hidden="1">
      <c r="A272" t="s">
        <v>35</v>
      </c>
      <c r="B272" s="2">
        <v>46133</v>
      </c>
      <c r="C272" t="s">
        <v>12</v>
      </c>
      <c r="D272" t="s">
        <v>9</v>
      </c>
      <c r="E272">
        <v>4</v>
      </c>
      <c r="F272" s="5">
        <v>22.56</v>
      </c>
      <c r="G272" s="5">
        <f>Table1[[#This Row],[Quantity]]*Table1[[#This Row],[Unit_Price]]</f>
        <v>90.24</v>
      </c>
      <c r="H272" t="s">
        <v>33</v>
      </c>
    </row>
    <row r="273" spans="1:8" hidden="1">
      <c r="A273" t="s">
        <v>298</v>
      </c>
      <c r="B273" s="2">
        <v>45805</v>
      </c>
      <c r="C273" t="s">
        <v>12</v>
      </c>
      <c r="D273" t="s">
        <v>19</v>
      </c>
      <c r="E273">
        <v>6</v>
      </c>
      <c r="F273" s="5">
        <v>7.41</v>
      </c>
      <c r="G273" s="5">
        <f>Table1[[#This Row],[Quantity]]*Table1[[#This Row],[Unit_Price]]</f>
        <v>44.46</v>
      </c>
      <c r="H273" t="s">
        <v>14</v>
      </c>
    </row>
    <row r="274" spans="1:8" hidden="1">
      <c r="A274" t="s">
        <v>141</v>
      </c>
      <c r="B274" s="2">
        <v>46007</v>
      </c>
      <c r="C274" t="s">
        <v>8</v>
      </c>
      <c r="D274" t="s">
        <v>9</v>
      </c>
      <c r="E274">
        <v>6</v>
      </c>
      <c r="F274" s="5">
        <v>26.64</v>
      </c>
      <c r="G274" s="5">
        <f>Table1[[#This Row],[Quantity]]*Table1[[#This Row],[Unit_Price]]</f>
        <v>159.84</v>
      </c>
      <c r="H274" t="s">
        <v>33</v>
      </c>
    </row>
    <row r="275" spans="1:8" hidden="1">
      <c r="A275" t="s">
        <v>74</v>
      </c>
      <c r="B275" s="2">
        <v>46194</v>
      </c>
      <c r="C275" t="s">
        <v>12</v>
      </c>
      <c r="D275" t="s">
        <v>38</v>
      </c>
      <c r="E275">
        <v>3</v>
      </c>
      <c r="F275" s="5">
        <v>53.41</v>
      </c>
      <c r="G275" s="5">
        <f>Table1[[#This Row],[Quantity]]*Table1[[#This Row],[Unit_Price]]</f>
        <v>160.22999999999999</v>
      </c>
      <c r="H275" t="s">
        <v>51</v>
      </c>
    </row>
    <row r="276" spans="1:8" hidden="1">
      <c r="A276" t="s">
        <v>302</v>
      </c>
      <c r="B276" s="2">
        <v>46176</v>
      </c>
      <c r="C276" t="s">
        <v>12</v>
      </c>
      <c r="D276" t="s">
        <v>13</v>
      </c>
      <c r="E276">
        <v>2</v>
      </c>
      <c r="F276" s="5">
        <v>66.209999999999994</v>
      </c>
      <c r="G276" s="5">
        <f>Table1[[#This Row],[Quantity]]*Table1[[#This Row],[Unit_Price]]</f>
        <v>132.41999999999999</v>
      </c>
      <c r="H276" t="s">
        <v>33</v>
      </c>
    </row>
    <row r="277" spans="1:8" hidden="1">
      <c r="A277" t="s">
        <v>216</v>
      </c>
      <c r="B277" s="2">
        <v>46035</v>
      </c>
      <c r="C277" t="s">
        <v>12</v>
      </c>
      <c r="D277" t="s">
        <v>9</v>
      </c>
      <c r="E277">
        <v>2</v>
      </c>
      <c r="F277" s="5">
        <v>25.57</v>
      </c>
      <c r="G277" s="5">
        <f>Table1[[#This Row],[Quantity]]*Table1[[#This Row],[Unit_Price]]</f>
        <v>51.14</v>
      </c>
      <c r="H277" t="s">
        <v>10</v>
      </c>
    </row>
    <row r="278" spans="1:8" hidden="1">
      <c r="A278" t="s">
        <v>132</v>
      </c>
      <c r="B278" s="2">
        <v>45812</v>
      </c>
      <c r="C278" t="s">
        <v>12</v>
      </c>
      <c r="D278" t="s">
        <v>38</v>
      </c>
      <c r="E278">
        <v>1</v>
      </c>
      <c r="F278" s="5">
        <v>113.25</v>
      </c>
      <c r="G278" s="5">
        <f>Table1[[#This Row],[Quantity]]*Table1[[#This Row],[Unit_Price]]</f>
        <v>113.25</v>
      </c>
      <c r="H278" t="s">
        <v>10</v>
      </c>
    </row>
    <row r="279" spans="1:8" hidden="1">
      <c r="A279" t="s">
        <v>147</v>
      </c>
      <c r="B279" s="2">
        <v>45669</v>
      </c>
      <c r="C279" t="s">
        <v>12</v>
      </c>
      <c r="D279" t="s">
        <v>9</v>
      </c>
      <c r="E279">
        <v>7</v>
      </c>
      <c r="F279" s="5">
        <v>16.27</v>
      </c>
      <c r="G279" s="5">
        <f>Table1[[#This Row],[Quantity]]*Table1[[#This Row],[Unit_Price]]</f>
        <v>113.89</v>
      </c>
      <c r="H279" t="s">
        <v>10</v>
      </c>
    </row>
    <row r="280" spans="1:8" hidden="1">
      <c r="A280" t="s">
        <v>307</v>
      </c>
      <c r="B280" s="2">
        <v>45907</v>
      </c>
      <c r="C280" t="s">
        <v>8</v>
      </c>
      <c r="D280" t="s">
        <v>9</v>
      </c>
      <c r="E280">
        <v>6</v>
      </c>
      <c r="F280" s="5">
        <v>13.93</v>
      </c>
      <c r="G280" s="5">
        <f>Table1[[#This Row],[Quantity]]*Table1[[#This Row],[Unit_Price]]</f>
        <v>83.58</v>
      </c>
      <c r="H280" t="s">
        <v>23</v>
      </c>
    </row>
    <row r="281" spans="1:8" hidden="1">
      <c r="A281" t="s">
        <v>262</v>
      </c>
      <c r="B281" s="2">
        <v>45935</v>
      </c>
      <c r="C281" t="s">
        <v>8</v>
      </c>
      <c r="D281" t="s">
        <v>9</v>
      </c>
      <c r="E281">
        <v>2</v>
      </c>
      <c r="F281" s="5">
        <v>27.38</v>
      </c>
      <c r="G281" s="5">
        <f>Table1[[#This Row],[Quantity]]*Table1[[#This Row],[Unit_Price]]</f>
        <v>54.76</v>
      </c>
      <c r="H281" t="s">
        <v>14</v>
      </c>
    </row>
    <row r="282" spans="1:8" hidden="1">
      <c r="A282" t="s">
        <v>280</v>
      </c>
      <c r="B282" s="2">
        <v>46095</v>
      </c>
      <c r="C282" t="s">
        <v>8</v>
      </c>
      <c r="D282" t="s">
        <v>13</v>
      </c>
      <c r="E282">
        <v>1</v>
      </c>
      <c r="F282" s="5">
        <v>45.3</v>
      </c>
      <c r="G282" s="5">
        <f>Table1[[#This Row],[Quantity]]*Table1[[#This Row],[Unit_Price]]</f>
        <v>45.3</v>
      </c>
      <c r="H282" t="s">
        <v>14</v>
      </c>
    </row>
    <row r="283" spans="1:8" hidden="1">
      <c r="A283" t="s">
        <v>305</v>
      </c>
      <c r="B283" s="2">
        <v>46059</v>
      </c>
      <c r="C283" t="s">
        <v>8</v>
      </c>
      <c r="D283" t="s">
        <v>13</v>
      </c>
      <c r="E283">
        <v>4</v>
      </c>
      <c r="F283" s="5">
        <v>43.1</v>
      </c>
      <c r="G283" s="5">
        <f>Table1[[#This Row],[Quantity]]*Table1[[#This Row],[Unit_Price]]</f>
        <v>172.4</v>
      </c>
      <c r="H283" t="s">
        <v>10</v>
      </c>
    </row>
    <row r="284" spans="1:8" hidden="1">
      <c r="A284" t="s">
        <v>198</v>
      </c>
      <c r="B284" s="2">
        <v>45987</v>
      </c>
      <c r="C284" t="s">
        <v>12</v>
      </c>
      <c r="D284" t="s">
        <v>38</v>
      </c>
      <c r="E284">
        <v>1</v>
      </c>
      <c r="F284" s="5">
        <v>50.46</v>
      </c>
      <c r="G284" s="5">
        <f>Table1[[#This Row],[Quantity]]*Table1[[#This Row],[Unit_Price]]</f>
        <v>50.46</v>
      </c>
      <c r="H284" t="s">
        <v>10</v>
      </c>
    </row>
    <row r="285" spans="1:8" hidden="1">
      <c r="A285" t="s">
        <v>189</v>
      </c>
      <c r="B285" s="2">
        <v>46163</v>
      </c>
      <c r="C285" t="s">
        <v>12</v>
      </c>
      <c r="D285" t="s">
        <v>38</v>
      </c>
      <c r="E285">
        <v>1</v>
      </c>
      <c r="F285" s="5">
        <v>68.760000000000005</v>
      </c>
      <c r="G285" s="5">
        <f>Table1[[#This Row],[Quantity]]*Table1[[#This Row],[Unit_Price]]</f>
        <v>68.760000000000005</v>
      </c>
      <c r="H285" t="s">
        <v>10</v>
      </c>
    </row>
    <row r="286" spans="1:8" hidden="1">
      <c r="A286" t="s">
        <v>200</v>
      </c>
      <c r="B286" s="2">
        <v>46146</v>
      </c>
      <c r="C286" t="s">
        <v>8</v>
      </c>
      <c r="D286" t="s">
        <v>27</v>
      </c>
      <c r="E286">
        <v>6</v>
      </c>
      <c r="F286" s="5">
        <v>235.74</v>
      </c>
      <c r="G286" s="5">
        <f>Table1[[#This Row],[Quantity]]*Table1[[#This Row],[Unit_Price]]</f>
        <v>1414.44</v>
      </c>
      <c r="H286" t="s">
        <v>10</v>
      </c>
    </row>
    <row r="287" spans="1:8" hidden="1">
      <c r="A287" t="s">
        <v>172</v>
      </c>
      <c r="B287" s="2">
        <v>46207</v>
      </c>
      <c r="C287" t="s">
        <v>8</v>
      </c>
      <c r="D287" t="s">
        <v>27</v>
      </c>
      <c r="E287">
        <v>8</v>
      </c>
      <c r="F287" s="5">
        <v>1008.97</v>
      </c>
      <c r="G287" s="5">
        <f>Table1[[#This Row],[Quantity]]*Table1[[#This Row],[Unit_Price]]</f>
        <v>8071.76</v>
      </c>
      <c r="H287" t="s">
        <v>14</v>
      </c>
    </row>
    <row r="288" spans="1:8" hidden="1">
      <c r="A288" t="s">
        <v>187</v>
      </c>
      <c r="B288" s="2">
        <v>46189</v>
      </c>
      <c r="C288" t="s">
        <v>12</v>
      </c>
      <c r="D288" t="s">
        <v>27</v>
      </c>
      <c r="E288">
        <v>7</v>
      </c>
      <c r="F288" s="5">
        <v>345.16</v>
      </c>
      <c r="G288" s="5">
        <f>Table1[[#This Row],[Quantity]]*Table1[[#This Row],[Unit_Price]]</f>
        <v>2416.1200000000003</v>
      </c>
      <c r="H288" t="s">
        <v>14</v>
      </c>
    </row>
    <row r="289" spans="1:8">
      <c r="A289" t="s">
        <v>304</v>
      </c>
      <c r="B289" s="2">
        <v>73050</v>
      </c>
      <c r="C289" t="s">
        <v>12</v>
      </c>
      <c r="D289" t="s">
        <v>27</v>
      </c>
      <c r="E289">
        <v>6</v>
      </c>
      <c r="F289" s="5">
        <v>263.68</v>
      </c>
      <c r="G289" s="5">
        <f>Table1[[#This Row],[Quantity]]*Table1[[#This Row],[Unit_Price]]</f>
        <v>1582.08</v>
      </c>
      <c r="H289" t="s">
        <v>10</v>
      </c>
    </row>
    <row r="290" spans="1:8" hidden="1">
      <c r="A290" t="s">
        <v>286</v>
      </c>
      <c r="B290" s="2">
        <v>46225</v>
      </c>
      <c r="C290" t="s">
        <v>8</v>
      </c>
      <c r="D290" t="s">
        <v>27</v>
      </c>
      <c r="E290">
        <v>7</v>
      </c>
      <c r="F290" s="5">
        <v>180.56</v>
      </c>
      <c r="G290" s="5">
        <f>Table1[[#This Row],[Quantity]]*Table1[[#This Row],[Unit_Price]]</f>
        <v>1263.92</v>
      </c>
      <c r="H290" t="s">
        <v>14</v>
      </c>
    </row>
    <row r="291" spans="1:8" hidden="1">
      <c r="A291" t="s">
        <v>159</v>
      </c>
      <c r="B291" s="2">
        <v>45969</v>
      </c>
      <c r="C291" t="s">
        <v>12</v>
      </c>
      <c r="D291" t="s">
        <v>9</v>
      </c>
      <c r="E291">
        <v>7</v>
      </c>
      <c r="F291" s="5">
        <v>14.78</v>
      </c>
      <c r="G291" s="5">
        <f>Table1[[#This Row],[Quantity]]*Table1[[#This Row],[Unit_Price]]</f>
        <v>103.46</v>
      </c>
      <c r="H291" t="s">
        <v>10</v>
      </c>
    </row>
    <row r="292" spans="1:8" hidden="1">
      <c r="A292" t="s">
        <v>65</v>
      </c>
      <c r="B292" s="2">
        <v>45973</v>
      </c>
      <c r="C292" t="s">
        <v>12</v>
      </c>
      <c r="D292" t="s">
        <v>13</v>
      </c>
      <c r="E292">
        <v>1</v>
      </c>
      <c r="F292" s="5">
        <v>25.9</v>
      </c>
      <c r="G292" s="5">
        <f>Table1[[#This Row],[Quantity]]*Table1[[#This Row],[Unit_Price]]</f>
        <v>25.9</v>
      </c>
      <c r="H292" t="s">
        <v>51</v>
      </c>
    </row>
    <row r="293" spans="1:8" hidden="1">
      <c r="A293" t="s">
        <v>57</v>
      </c>
      <c r="B293" s="2">
        <v>45776</v>
      </c>
      <c r="C293" t="s">
        <v>8</v>
      </c>
      <c r="D293" t="s">
        <v>323</v>
      </c>
      <c r="E293">
        <v>2</v>
      </c>
      <c r="F293" s="5">
        <v>21.57</v>
      </c>
      <c r="G293" s="5">
        <f>Table1[[#This Row],[Quantity]]*Table1[[#This Row],[Unit_Price]]</f>
        <v>43.14</v>
      </c>
      <c r="H293" t="s">
        <v>23</v>
      </c>
    </row>
  </sheetData>
  <conditionalFormatting sqref="A1:A1048576">
    <cfRule type="duplicateValues" dxfId="0" priority="1"/>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6B59-DE70-4254-BC22-45CD486C2EF3}">
  <dimension ref="A2:H16"/>
  <sheetViews>
    <sheetView workbookViewId="0">
      <selection activeCell="G17" sqref="G17"/>
    </sheetView>
  </sheetViews>
  <sheetFormatPr defaultRowHeight="14.5"/>
  <cols>
    <col min="1" max="1" width="12.453125" bestFit="1" customWidth="1"/>
    <col min="2" max="2" width="15.7265625" bestFit="1" customWidth="1"/>
    <col min="3" max="3" width="6.36328125" customWidth="1"/>
    <col min="4" max="4" width="12.453125" bestFit="1" customWidth="1"/>
    <col min="5" max="5" width="15.7265625" bestFit="1" customWidth="1"/>
    <col min="6" max="6" width="6.36328125" customWidth="1"/>
    <col min="7" max="7" width="12.453125" bestFit="1" customWidth="1"/>
    <col min="8" max="8" width="15.7265625" bestFit="1" customWidth="1"/>
    <col min="9" max="10" width="11.7265625" bestFit="1" customWidth="1"/>
    <col min="11" max="11" width="10.7265625" bestFit="1" customWidth="1"/>
    <col min="12" max="12" width="11.7265625" bestFit="1" customWidth="1"/>
    <col min="13" max="13" width="10.7265625" bestFit="1" customWidth="1"/>
    <col min="14" max="14" width="9.7265625" bestFit="1" customWidth="1"/>
    <col min="15" max="17" width="10.7265625" bestFit="1" customWidth="1"/>
    <col min="18" max="294" width="9" bestFit="1" customWidth="1"/>
    <col min="295" max="295" width="10.36328125" bestFit="1" customWidth="1"/>
    <col min="296" max="296" width="7.90625" bestFit="1" customWidth="1"/>
    <col min="297" max="297" width="9.81640625" bestFit="1" customWidth="1"/>
    <col min="298" max="298" width="9.90625" bestFit="1" customWidth="1"/>
    <col min="299" max="299" width="9.81640625" bestFit="1" customWidth="1"/>
    <col min="300" max="300" width="7.54296875" bestFit="1" customWidth="1"/>
    <col min="301" max="301" width="9.81640625" bestFit="1" customWidth="1"/>
    <col min="302" max="302" width="7.54296875" bestFit="1" customWidth="1"/>
    <col min="303" max="303" width="9.81640625" bestFit="1" customWidth="1"/>
    <col min="304" max="304" width="9.90625" bestFit="1" customWidth="1"/>
    <col min="305" max="305" width="9.81640625" bestFit="1" customWidth="1"/>
    <col min="306" max="306" width="9.90625" bestFit="1" customWidth="1"/>
    <col min="307" max="307" width="9.81640625" bestFit="1" customWidth="1"/>
    <col min="308" max="308" width="8.08984375" bestFit="1" customWidth="1"/>
    <col min="309" max="309" width="9.81640625" bestFit="1" customWidth="1"/>
    <col min="310" max="310" width="7.54296875" bestFit="1" customWidth="1"/>
    <col min="311" max="311" width="9.81640625" bestFit="1" customWidth="1"/>
    <col min="312" max="312" width="9.90625" bestFit="1" customWidth="1"/>
    <col min="313" max="313" width="9.81640625" bestFit="1" customWidth="1"/>
    <col min="314" max="314" width="9.90625" bestFit="1" customWidth="1"/>
    <col min="315" max="315" width="9.81640625" bestFit="1" customWidth="1"/>
    <col min="316" max="316" width="7.90625" bestFit="1" customWidth="1"/>
    <col min="317" max="317" width="9.90625" bestFit="1" customWidth="1"/>
    <col min="318" max="318" width="9.81640625" bestFit="1" customWidth="1"/>
    <col min="319" max="319" width="9.90625" bestFit="1" customWidth="1"/>
    <col min="320" max="320" width="9.81640625" bestFit="1" customWidth="1"/>
    <col min="321" max="321" width="9.90625" bestFit="1" customWidth="1"/>
    <col min="322" max="322" width="9.81640625" bestFit="1" customWidth="1"/>
    <col min="323" max="323" width="6.54296875" bestFit="1" customWidth="1"/>
    <col min="324" max="324" width="8.81640625" bestFit="1" customWidth="1"/>
    <col min="325" max="325" width="7.54296875" bestFit="1" customWidth="1"/>
    <col min="326" max="326" width="9.81640625" bestFit="1" customWidth="1"/>
    <col min="327" max="327" width="8.08984375" bestFit="1" customWidth="1"/>
    <col min="328" max="328" width="9.81640625" bestFit="1" customWidth="1"/>
    <col min="329" max="329" width="7.54296875" bestFit="1" customWidth="1"/>
    <col min="330" max="330" width="9.81640625" bestFit="1" customWidth="1"/>
    <col min="331" max="331" width="9.90625" bestFit="1" customWidth="1"/>
    <col min="332" max="332" width="9.81640625" bestFit="1" customWidth="1"/>
    <col min="333" max="333" width="7.90625" bestFit="1" customWidth="1"/>
    <col min="334" max="334" width="9.81640625" bestFit="1" customWidth="1"/>
    <col min="335" max="335" width="9.90625" bestFit="1" customWidth="1"/>
    <col min="336" max="336" width="9.81640625" bestFit="1" customWidth="1"/>
    <col min="337" max="337" width="9.90625" bestFit="1" customWidth="1"/>
    <col min="338" max="338" width="9.81640625" bestFit="1" customWidth="1"/>
    <col min="339" max="339" width="8.08984375" bestFit="1" customWidth="1"/>
    <col min="340" max="340" width="9.81640625" bestFit="1" customWidth="1"/>
    <col min="341" max="341" width="7.54296875" bestFit="1" customWidth="1"/>
    <col min="342" max="342" width="9.81640625" bestFit="1" customWidth="1"/>
    <col min="343" max="343" width="9.90625" bestFit="1" customWidth="1"/>
    <col min="344" max="344" width="9.81640625" bestFit="1" customWidth="1"/>
    <col min="345" max="345" width="9.90625" bestFit="1" customWidth="1"/>
    <col min="346" max="346" width="9.81640625" bestFit="1" customWidth="1"/>
    <col min="347" max="347" width="9.90625" bestFit="1" customWidth="1"/>
    <col min="348" max="348" width="9.81640625" bestFit="1" customWidth="1"/>
    <col min="349" max="349" width="7.54296875" bestFit="1" customWidth="1"/>
    <col min="350" max="350" width="9.81640625" bestFit="1" customWidth="1"/>
    <col min="351" max="351" width="7.90625" bestFit="1" customWidth="1"/>
    <col min="352" max="352" width="9.81640625" bestFit="1" customWidth="1"/>
    <col min="353" max="353" width="7.54296875" bestFit="1" customWidth="1"/>
    <col min="354" max="354" width="9.81640625" bestFit="1" customWidth="1"/>
    <col min="355" max="355" width="7.54296875" bestFit="1" customWidth="1"/>
    <col min="356" max="356" width="9.81640625" bestFit="1" customWidth="1"/>
    <col min="357" max="357" width="8.08984375" bestFit="1" customWidth="1"/>
    <col min="358" max="358" width="9.81640625" bestFit="1" customWidth="1"/>
    <col min="359" max="359" width="7.54296875" bestFit="1" customWidth="1"/>
    <col min="360" max="360" width="9.81640625" bestFit="1" customWidth="1"/>
    <col min="361" max="361" width="7.54296875" bestFit="1" customWidth="1"/>
    <col min="362" max="362" width="9.81640625" bestFit="1" customWidth="1"/>
    <col min="363" max="363" width="9.90625" bestFit="1" customWidth="1"/>
    <col min="364" max="364" width="9.81640625" bestFit="1" customWidth="1"/>
    <col min="365" max="365" width="6.7265625" bestFit="1" customWidth="1"/>
    <col min="366" max="366" width="8.81640625" bestFit="1" customWidth="1"/>
    <col min="367" max="367" width="8.08984375" bestFit="1" customWidth="1"/>
    <col min="368" max="368" width="9.81640625" bestFit="1" customWidth="1"/>
    <col min="369" max="369" width="7.54296875" bestFit="1" customWidth="1"/>
    <col min="370" max="370" width="9.81640625" bestFit="1" customWidth="1"/>
    <col min="371" max="371" width="9.90625" bestFit="1" customWidth="1"/>
    <col min="372" max="372" width="9.81640625" bestFit="1" customWidth="1"/>
    <col min="373" max="373" width="7.54296875" bestFit="1" customWidth="1"/>
    <col min="374" max="374" width="9.81640625" bestFit="1" customWidth="1"/>
    <col min="375" max="375" width="9.90625" bestFit="1" customWidth="1"/>
    <col min="376" max="376" width="10.81640625" bestFit="1" customWidth="1"/>
    <col min="377" max="377" width="9.90625" bestFit="1" customWidth="1"/>
    <col min="378" max="378" width="10.81640625" bestFit="1" customWidth="1"/>
    <col min="379" max="379" width="8.54296875" bestFit="1" customWidth="1"/>
    <col min="380" max="380" width="10.81640625" bestFit="1" customWidth="1"/>
    <col min="381" max="381" width="7.54296875" bestFit="1" customWidth="1"/>
    <col min="382" max="382" width="9.81640625" bestFit="1" customWidth="1"/>
    <col min="383" max="383" width="9.90625" bestFit="1" customWidth="1"/>
    <col min="384" max="384" width="10.81640625" bestFit="1" customWidth="1"/>
    <col min="385" max="385" width="8.54296875" bestFit="1" customWidth="1"/>
    <col min="386" max="386" width="10.81640625" bestFit="1" customWidth="1"/>
    <col min="387" max="387" width="8.54296875" bestFit="1" customWidth="1"/>
    <col min="388" max="388" width="10.81640625" bestFit="1" customWidth="1"/>
    <col min="389" max="389" width="9.90625" bestFit="1" customWidth="1"/>
    <col min="390" max="390" width="10.81640625" bestFit="1" customWidth="1"/>
    <col min="391" max="391" width="9.90625" bestFit="1" customWidth="1"/>
    <col min="392" max="392" width="10.81640625" bestFit="1" customWidth="1"/>
    <col min="393" max="393" width="7.54296875" bestFit="1" customWidth="1"/>
    <col min="394" max="394" width="9.81640625" bestFit="1" customWidth="1"/>
    <col min="395" max="395" width="8.54296875" bestFit="1" customWidth="1"/>
    <col min="396" max="396" width="10.81640625" bestFit="1" customWidth="1"/>
    <col min="397" max="397" width="9.90625" bestFit="1" customWidth="1"/>
    <col min="398" max="398" width="10.81640625" bestFit="1" customWidth="1"/>
    <col min="399" max="399" width="9.90625" bestFit="1" customWidth="1"/>
    <col min="400" max="400" width="10.81640625" bestFit="1" customWidth="1"/>
    <col min="401" max="401" width="8.54296875" bestFit="1" customWidth="1"/>
    <col min="402" max="402" width="10.81640625" bestFit="1" customWidth="1"/>
    <col min="403" max="403" width="8.54296875" bestFit="1" customWidth="1"/>
    <col min="404" max="404" width="10.81640625" bestFit="1" customWidth="1"/>
    <col min="405" max="405" width="9.90625" bestFit="1" customWidth="1"/>
    <col min="406" max="406" width="10.81640625" bestFit="1" customWidth="1"/>
    <col min="407" max="407" width="8.54296875" bestFit="1" customWidth="1"/>
    <col min="408" max="408" width="10.81640625" bestFit="1" customWidth="1"/>
    <col min="409" max="409" width="9.90625" bestFit="1" customWidth="1"/>
    <col min="410" max="410" width="10.81640625" bestFit="1" customWidth="1"/>
    <col min="411" max="411" width="8.54296875" bestFit="1" customWidth="1"/>
    <col min="412" max="412" width="10.81640625" bestFit="1" customWidth="1"/>
    <col min="413" max="413" width="8.54296875" bestFit="1" customWidth="1"/>
    <col min="414" max="414" width="10.81640625" bestFit="1" customWidth="1"/>
    <col min="415" max="415" width="8.54296875" bestFit="1" customWidth="1"/>
    <col min="416" max="416" width="10.81640625" bestFit="1" customWidth="1"/>
    <col min="417" max="417" width="8.54296875" bestFit="1" customWidth="1"/>
    <col min="418" max="418" width="10.81640625" bestFit="1" customWidth="1"/>
    <col min="419" max="419" width="8.54296875" bestFit="1" customWidth="1"/>
    <col min="420" max="420" width="10.81640625" bestFit="1" customWidth="1"/>
    <col min="421" max="421" width="7.54296875" bestFit="1" customWidth="1"/>
    <col min="422" max="422" width="9.81640625" bestFit="1" customWidth="1"/>
    <col min="423" max="423" width="9.90625" bestFit="1" customWidth="1"/>
    <col min="424" max="424" width="10.81640625" bestFit="1" customWidth="1"/>
    <col min="425" max="425" width="8.54296875" bestFit="1" customWidth="1"/>
    <col min="426" max="426" width="10.81640625" bestFit="1" customWidth="1"/>
    <col min="427" max="427" width="9.90625" bestFit="1" customWidth="1"/>
    <col min="428" max="428" width="10.81640625" bestFit="1" customWidth="1"/>
    <col min="429" max="429" width="9.90625" bestFit="1" customWidth="1"/>
    <col min="430" max="430" width="10.81640625" bestFit="1" customWidth="1"/>
    <col min="431" max="431" width="8.54296875" bestFit="1" customWidth="1"/>
    <col min="432" max="432" width="10.81640625" bestFit="1" customWidth="1"/>
    <col min="433" max="433" width="9.90625" bestFit="1" customWidth="1"/>
    <col min="434" max="434" width="9.81640625" bestFit="1" customWidth="1"/>
    <col min="435" max="435" width="8.54296875" bestFit="1" customWidth="1"/>
    <col min="436" max="436" width="10.81640625" bestFit="1" customWidth="1"/>
    <col min="437" max="437" width="8.54296875" bestFit="1" customWidth="1"/>
    <col min="438" max="438" width="10.81640625" bestFit="1" customWidth="1"/>
    <col min="439" max="439" width="9.90625" bestFit="1" customWidth="1"/>
    <col min="440" max="440" width="10.81640625" bestFit="1" customWidth="1"/>
    <col min="441" max="441" width="8.54296875" bestFit="1" customWidth="1"/>
    <col min="442" max="442" width="10.81640625" bestFit="1" customWidth="1"/>
    <col min="443" max="443" width="8.54296875" bestFit="1" customWidth="1"/>
    <col min="444" max="444" width="10.81640625" bestFit="1" customWidth="1"/>
    <col min="445" max="445" width="8.54296875" bestFit="1" customWidth="1"/>
    <col min="446" max="446" width="10.81640625" bestFit="1" customWidth="1"/>
    <col min="447" max="447" width="8.54296875" bestFit="1" customWidth="1"/>
    <col min="448" max="448" width="10.81640625" bestFit="1" customWidth="1"/>
    <col min="449" max="449" width="8.08984375" bestFit="1" customWidth="1"/>
    <col min="450" max="450" width="8.26953125" bestFit="1" customWidth="1"/>
    <col min="451" max="451" width="8.54296875" bestFit="1" customWidth="1"/>
    <col min="452" max="452" width="10.81640625" bestFit="1" customWidth="1"/>
    <col min="453" max="453" width="9.90625" bestFit="1" customWidth="1"/>
    <col min="454" max="454" width="10.81640625" bestFit="1" customWidth="1"/>
    <col min="455" max="455" width="9.90625" bestFit="1" customWidth="1"/>
    <col min="456" max="456" width="10.81640625" bestFit="1" customWidth="1"/>
    <col min="457" max="457" width="8.54296875" bestFit="1" customWidth="1"/>
    <col min="458" max="458" width="10.81640625" bestFit="1" customWidth="1"/>
    <col min="459" max="459" width="8.54296875" bestFit="1" customWidth="1"/>
    <col min="460" max="460" width="10.81640625" bestFit="1" customWidth="1"/>
    <col min="461" max="461" width="8.54296875" bestFit="1" customWidth="1"/>
    <col min="462" max="462" width="10.81640625" bestFit="1" customWidth="1"/>
    <col min="463" max="463" width="9.90625" bestFit="1" customWidth="1"/>
    <col min="464" max="464" width="8.26953125" bestFit="1" customWidth="1"/>
    <col min="465" max="465" width="9.90625" bestFit="1" customWidth="1"/>
    <col min="466" max="466" width="10.81640625" bestFit="1" customWidth="1"/>
    <col min="467" max="467" width="9.90625" bestFit="1" customWidth="1"/>
    <col min="468" max="468" width="10.81640625" bestFit="1" customWidth="1"/>
    <col min="469" max="469" width="8.54296875" bestFit="1" customWidth="1"/>
    <col min="470" max="470" width="10.81640625" bestFit="1" customWidth="1"/>
    <col min="471" max="471" width="9.90625" bestFit="1" customWidth="1"/>
    <col min="472" max="472" width="10.81640625" bestFit="1" customWidth="1"/>
    <col min="473" max="473" width="8.54296875" bestFit="1" customWidth="1"/>
    <col min="474" max="474" width="10.81640625" bestFit="1" customWidth="1"/>
    <col min="475" max="475" width="9.90625" bestFit="1" customWidth="1"/>
    <col min="476" max="476" width="10.81640625" bestFit="1" customWidth="1"/>
    <col min="477" max="477" width="8.54296875" bestFit="1" customWidth="1"/>
    <col min="478" max="478" width="10.81640625" bestFit="1" customWidth="1"/>
    <col min="479" max="479" width="7.54296875" bestFit="1" customWidth="1"/>
    <col min="480" max="480" width="9.81640625" bestFit="1" customWidth="1"/>
    <col min="481" max="481" width="8.08984375" bestFit="1" customWidth="1"/>
    <col min="482" max="482" width="9.81640625" bestFit="1" customWidth="1"/>
    <col min="483" max="483" width="8.54296875" bestFit="1" customWidth="1"/>
    <col min="484" max="484" width="10.81640625" bestFit="1" customWidth="1"/>
    <col min="485" max="485" width="8.54296875" bestFit="1" customWidth="1"/>
    <col min="486" max="486" width="10.81640625" bestFit="1" customWidth="1"/>
    <col min="487" max="487" width="9.90625" bestFit="1" customWidth="1"/>
    <col min="488" max="488" width="9.81640625" bestFit="1" customWidth="1"/>
    <col min="489" max="489" width="8.54296875" bestFit="1" customWidth="1"/>
    <col min="490" max="490" width="10.81640625" bestFit="1" customWidth="1"/>
    <col min="491" max="491" width="8.54296875" bestFit="1" customWidth="1"/>
    <col min="492" max="492" width="10.81640625" bestFit="1" customWidth="1"/>
    <col min="493" max="493" width="9.90625" bestFit="1" customWidth="1"/>
    <col min="494" max="494" width="10.81640625" bestFit="1" customWidth="1"/>
    <col min="495" max="495" width="9.90625" bestFit="1" customWidth="1"/>
    <col min="496" max="496" width="10.81640625" bestFit="1" customWidth="1"/>
    <col min="497" max="497" width="7.54296875" bestFit="1" customWidth="1"/>
    <col min="498" max="498" width="9.81640625" bestFit="1" customWidth="1"/>
    <col min="499" max="499" width="9.90625" bestFit="1" customWidth="1"/>
    <col min="500" max="500" width="10.81640625" bestFit="1" customWidth="1"/>
    <col min="501" max="501" width="7.54296875" bestFit="1" customWidth="1"/>
    <col min="502" max="502" width="9.81640625" bestFit="1" customWidth="1"/>
    <col min="503" max="503" width="8.54296875" bestFit="1" customWidth="1"/>
    <col min="504" max="504" width="10.81640625" bestFit="1" customWidth="1"/>
    <col min="505" max="505" width="8.54296875" bestFit="1" customWidth="1"/>
    <col min="506" max="506" width="10.81640625" bestFit="1" customWidth="1"/>
    <col min="507" max="507" width="9.90625" bestFit="1" customWidth="1"/>
    <col min="508" max="508" width="10.81640625" bestFit="1" customWidth="1"/>
    <col min="509" max="509" width="9.90625" bestFit="1" customWidth="1"/>
    <col min="510" max="510" width="10.81640625" bestFit="1" customWidth="1"/>
    <col min="511" max="511" width="9.90625" bestFit="1" customWidth="1"/>
    <col min="512" max="512" width="10.81640625" bestFit="1" customWidth="1"/>
    <col min="513" max="513" width="9.90625" bestFit="1" customWidth="1"/>
    <col min="514" max="514" width="10.81640625" bestFit="1" customWidth="1"/>
    <col min="515" max="515" width="8.54296875" bestFit="1" customWidth="1"/>
    <col min="516" max="516" width="10.81640625" bestFit="1" customWidth="1"/>
    <col min="517" max="517" width="8.54296875" bestFit="1" customWidth="1"/>
    <col min="518" max="518" width="10.81640625" bestFit="1" customWidth="1"/>
    <col min="519" max="519" width="9.90625" bestFit="1" customWidth="1"/>
    <col min="520" max="520" width="10.81640625" bestFit="1" customWidth="1"/>
    <col min="521" max="521" width="7.54296875" bestFit="1" customWidth="1"/>
    <col min="522" max="522" width="9.81640625" bestFit="1" customWidth="1"/>
    <col min="523" max="523" width="9.90625" bestFit="1" customWidth="1"/>
    <col min="524" max="524" width="10.81640625" bestFit="1" customWidth="1"/>
    <col min="525" max="525" width="8.54296875" bestFit="1" customWidth="1"/>
    <col min="526" max="526" width="10.81640625" bestFit="1" customWidth="1"/>
    <col min="527" max="527" width="8.54296875" bestFit="1" customWidth="1"/>
    <col min="528" max="528" width="10.81640625" bestFit="1" customWidth="1"/>
    <col min="529" max="529" width="7.90625" bestFit="1" customWidth="1"/>
    <col min="530" max="530" width="8.26953125" bestFit="1" customWidth="1"/>
    <col min="531" max="531" width="9.90625" bestFit="1" customWidth="1"/>
    <col min="532" max="532" width="10.81640625" bestFit="1" customWidth="1"/>
    <col min="533" max="533" width="9.90625" bestFit="1" customWidth="1"/>
    <col min="534" max="534" width="10.81640625" bestFit="1" customWidth="1"/>
    <col min="535" max="535" width="8.54296875" bestFit="1" customWidth="1"/>
    <col min="536" max="536" width="10.81640625" bestFit="1" customWidth="1"/>
    <col min="537" max="537" width="8.54296875" bestFit="1" customWidth="1"/>
    <col min="538" max="538" width="10.81640625" bestFit="1" customWidth="1"/>
    <col min="539" max="539" width="6.81640625" bestFit="1" customWidth="1"/>
    <col min="540" max="540" width="9.26953125" bestFit="1" customWidth="1"/>
    <col min="541" max="541" width="8.08984375" bestFit="1" customWidth="1"/>
    <col min="542" max="542" width="8.36328125" bestFit="1" customWidth="1"/>
    <col min="543" max="543" width="7.90625" bestFit="1" customWidth="1"/>
    <col min="544" max="544" width="9.6328125" bestFit="1" customWidth="1"/>
    <col min="545" max="545" width="8.54296875" bestFit="1" customWidth="1"/>
    <col min="546" max="546" width="8.08984375" bestFit="1" customWidth="1"/>
    <col min="547" max="547" width="9.90625" bestFit="1" customWidth="1"/>
    <col min="549" max="549" width="11.26953125" bestFit="1" customWidth="1"/>
    <col min="550" max="550" width="10.36328125" bestFit="1" customWidth="1"/>
  </cols>
  <sheetData>
    <row r="2" spans="1:8">
      <c r="A2" s="3" t="s">
        <v>335</v>
      </c>
      <c r="B2" t="s">
        <v>334</v>
      </c>
      <c r="D2" s="3" t="s">
        <v>335</v>
      </c>
      <c r="E2" t="s">
        <v>334</v>
      </c>
      <c r="G2" s="3" t="s">
        <v>335</v>
      </c>
      <c r="H2" t="s">
        <v>334</v>
      </c>
    </row>
    <row r="3" spans="1:8">
      <c r="A3" s="4" t="s">
        <v>13</v>
      </c>
      <c r="B3" s="13">
        <v>2742.4099999999994</v>
      </c>
      <c r="D3" s="4" t="s">
        <v>23</v>
      </c>
      <c r="E3" s="13">
        <v>2259.8099999999995</v>
      </c>
      <c r="G3" s="4" t="s">
        <v>341</v>
      </c>
      <c r="H3" s="13">
        <v>1366.1099999999997</v>
      </c>
    </row>
    <row r="4" spans="1:8">
      <c r="A4" s="4" t="s">
        <v>27</v>
      </c>
      <c r="B4" s="13">
        <v>16457.43</v>
      </c>
      <c r="D4" s="4" t="s">
        <v>16</v>
      </c>
      <c r="E4" s="13">
        <v>3620.11</v>
      </c>
      <c r="G4" s="4" t="s">
        <v>342</v>
      </c>
      <c r="H4" s="13">
        <v>1515.1100000000001</v>
      </c>
    </row>
    <row r="5" spans="1:8">
      <c r="A5" s="4" t="s">
        <v>9</v>
      </c>
      <c r="B5" s="13">
        <v>1412.3700000000001</v>
      </c>
      <c r="D5" s="4" t="s">
        <v>51</v>
      </c>
      <c r="E5" s="13">
        <v>1012.78</v>
      </c>
      <c r="G5" s="4" t="s">
        <v>343</v>
      </c>
      <c r="H5" s="13">
        <v>2466.75</v>
      </c>
    </row>
    <row r="6" spans="1:8">
      <c r="A6" s="4" t="s">
        <v>38</v>
      </c>
      <c r="B6" s="13">
        <v>3361.23</v>
      </c>
      <c r="D6" s="4" t="s">
        <v>14</v>
      </c>
      <c r="E6" s="13">
        <v>3657.37</v>
      </c>
      <c r="G6" s="4" t="s">
        <v>344</v>
      </c>
      <c r="H6" s="13">
        <v>2543.7600000000002</v>
      </c>
    </row>
    <row r="7" spans="1:8">
      <c r="A7" s="4" t="s">
        <v>323</v>
      </c>
      <c r="B7" s="13">
        <v>1048.6899999999998</v>
      </c>
      <c r="D7" s="4" t="s">
        <v>33</v>
      </c>
      <c r="E7" s="13">
        <v>2160.2199999999993</v>
      </c>
      <c r="G7" s="4" t="s">
        <v>345</v>
      </c>
      <c r="H7" s="13">
        <v>3112.0600000000004</v>
      </c>
    </row>
    <row r="8" spans="1:8">
      <c r="A8" s="4" t="s">
        <v>19</v>
      </c>
      <c r="B8" s="13">
        <v>250.89000000000004</v>
      </c>
      <c r="D8" s="4" t="s">
        <v>10</v>
      </c>
      <c r="E8" s="13">
        <v>9405.3500000000022</v>
      </c>
      <c r="G8" s="4" t="s">
        <v>346</v>
      </c>
      <c r="H8" s="13">
        <v>4601.28</v>
      </c>
    </row>
    <row r="9" spans="1:8">
      <c r="A9" s="4" t="s">
        <v>333</v>
      </c>
      <c r="B9" s="13">
        <v>25273.019999999997</v>
      </c>
      <c r="D9" s="4" t="s">
        <v>323</v>
      </c>
      <c r="E9" s="13">
        <v>3157.3800000000006</v>
      </c>
      <c r="G9" s="4" t="s">
        <v>347</v>
      </c>
      <c r="H9" s="13">
        <v>1452.4399999999998</v>
      </c>
    </row>
    <row r="10" spans="1:8">
      <c r="D10" s="4" t="s">
        <v>333</v>
      </c>
      <c r="E10" s="13">
        <v>25273.02</v>
      </c>
      <c r="G10" s="4" t="s">
        <v>348</v>
      </c>
      <c r="H10" s="13">
        <v>1369.4500000000003</v>
      </c>
    </row>
    <row r="11" spans="1:8">
      <c r="A11" s="3" t="s">
        <v>335</v>
      </c>
      <c r="B11" t="s">
        <v>334</v>
      </c>
      <c r="G11" s="4" t="s">
        <v>349</v>
      </c>
      <c r="H11" s="13">
        <v>1285.3899999999999</v>
      </c>
    </row>
    <row r="12" spans="1:8">
      <c r="A12" s="4" t="s">
        <v>8</v>
      </c>
      <c r="B12" s="13">
        <v>9548.0399999999972</v>
      </c>
      <c r="D12" s="3" t="s">
        <v>335</v>
      </c>
      <c r="E12" t="s">
        <v>334</v>
      </c>
      <c r="G12" s="4" t="s">
        <v>350</v>
      </c>
      <c r="H12" s="13">
        <v>1597.1799999999996</v>
      </c>
    </row>
    <row r="13" spans="1:8">
      <c r="A13" s="4" t="s">
        <v>12</v>
      </c>
      <c r="B13" s="13">
        <v>15724.980000000003</v>
      </c>
      <c r="D13" s="4" t="s">
        <v>338</v>
      </c>
      <c r="E13" s="13">
        <v>17428.180000000004</v>
      </c>
      <c r="G13" s="4" t="s">
        <v>351</v>
      </c>
      <c r="H13" s="13">
        <v>804.00999999999988</v>
      </c>
    </row>
    <row r="14" spans="1:8">
      <c r="A14" s="4" t="s">
        <v>333</v>
      </c>
      <c r="B14" s="13">
        <v>25273.02</v>
      </c>
      <c r="D14" s="4" t="s">
        <v>339</v>
      </c>
      <c r="E14" s="13">
        <v>6005.01</v>
      </c>
      <c r="G14" s="4" t="s">
        <v>352</v>
      </c>
      <c r="H14" s="13">
        <v>3159.4799999999991</v>
      </c>
    </row>
    <row r="15" spans="1:8">
      <c r="D15" s="4" t="s">
        <v>340</v>
      </c>
      <c r="E15" s="13">
        <v>1839.83</v>
      </c>
      <c r="G15" s="4" t="s">
        <v>333</v>
      </c>
      <c r="H15" s="13">
        <v>25273.019999999997</v>
      </c>
    </row>
    <row r="16" spans="1:8">
      <c r="D16" s="4" t="s">
        <v>333</v>
      </c>
      <c r="E16" s="13">
        <v>25273.020000000004</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D7938-04AB-49FE-93A7-E9AAB8D6366D}">
  <dimension ref="A1:CC809"/>
  <sheetViews>
    <sheetView showGridLines="0" topLeftCell="A4" zoomScale="60" zoomScaleNormal="60" workbookViewId="0">
      <selection activeCell="R19" sqref="R19:V19"/>
    </sheetView>
  </sheetViews>
  <sheetFormatPr defaultRowHeight="14.5"/>
  <cols>
    <col min="1" max="1" width="17.36328125" customWidth="1"/>
    <col min="2" max="2" width="10.90625" bestFit="1" customWidth="1"/>
    <col min="14" max="14" width="13.54296875" bestFit="1" customWidth="1"/>
  </cols>
  <sheetData>
    <row r="1" spans="1:81" ht="14.5" customHeight="1">
      <c r="A1" s="44" t="s">
        <v>325</v>
      </c>
      <c r="B1" s="44"/>
      <c r="C1" s="44"/>
      <c r="D1" s="44"/>
      <c r="E1" s="44"/>
      <c r="F1" s="44"/>
      <c r="G1" s="44"/>
      <c r="H1" s="44"/>
      <c r="I1" s="44"/>
      <c r="J1" s="44"/>
      <c r="K1" s="44"/>
      <c r="L1" s="44"/>
      <c r="M1" s="44"/>
      <c r="N1" s="44"/>
      <c r="O1" s="44"/>
      <c r="P1" s="44"/>
      <c r="Q1" s="44"/>
      <c r="R1" s="44"/>
      <c r="S1" s="44"/>
      <c r="T1" s="44"/>
      <c r="U1" s="44"/>
      <c r="V1" s="44"/>
      <c r="W1" s="16"/>
      <c r="X1" s="17"/>
      <c r="Y1" s="17"/>
      <c r="Z1" s="17"/>
      <c r="AA1" s="17"/>
      <c r="AB1" s="17"/>
      <c r="AC1" s="17"/>
      <c r="AD1" s="17"/>
      <c r="AE1" s="17"/>
      <c r="AF1" s="17"/>
      <c r="AG1" s="17"/>
      <c r="AH1" s="17"/>
      <c r="AI1" s="17"/>
      <c r="AJ1" s="17"/>
      <c r="AK1" s="17"/>
      <c r="AL1" s="17"/>
      <c r="AM1" s="17"/>
      <c r="AN1" s="17"/>
      <c r="AO1" s="17"/>
      <c r="AP1" s="17"/>
      <c r="AQ1" s="17"/>
      <c r="AR1" s="17"/>
      <c r="AS1" s="17"/>
      <c r="AT1" s="17"/>
    </row>
    <row r="2" spans="1:81" ht="14.5" customHeight="1">
      <c r="A2" s="44"/>
      <c r="B2" s="44"/>
      <c r="C2" s="44"/>
      <c r="D2" s="44"/>
      <c r="E2" s="44"/>
      <c r="F2" s="44"/>
      <c r="G2" s="44"/>
      <c r="H2" s="44"/>
      <c r="I2" s="44"/>
      <c r="J2" s="44"/>
      <c r="K2" s="44"/>
      <c r="L2" s="44"/>
      <c r="M2" s="44"/>
      <c r="N2" s="44"/>
      <c r="O2" s="44"/>
      <c r="P2" s="44"/>
      <c r="Q2" s="44"/>
      <c r="R2" s="44"/>
      <c r="S2" s="44"/>
      <c r="T2" s="44"/>
      <c r="U2" s="44"/>
      <c r="V2" s="44"/>
      <c r="W2" s="16"/>
      <c r="X2" s="17"/>
      <c r="Y2" s="17"/>
      <c r="Z2" s="17"/>
      <c r="AA2" s="17"/>
      <c r="AB2" s="17"/>
      <c r="AC2" s="17"/>
      <c r="AD2" s="17"/>
      <c r="AE2" s="17"/>
      <c r="AF2" s="17"/>
      <c r="AG2" s="17"/>
      <c r="AH2" s="17"/>
      <c r="AI2" s="17"/>
      <c r="AJ2" s="17"/>
      <c r="AK2" s="17"/>
      <c r="AL2" s="17"/>
      <c r="AM2" s="17"/>
      <c r="AN2" s="17"/>
      <c r="AO2" s="17"/>
      <c r="AP2" s="17"/>
      <c r="AQ2" s="17"/>
      <c r="AR2" s="17"/>
      <c r="AS2" s="17"/>
      <c r="AT2" s="17"/>
    </row>
    <row r="3" spans="1:81" ht="31" customHeight="1">
      <c r="A3" s="44"/>
      <c r="B3" s="44"/>
      <c r="C3" s="44"/>
      <c r="D3" s="44"/>
      <c r="E3" s="44"/>
      <c r="F3" s="44"/>
      <c r="G3" s="44"/>
      <c r="H3" s="44"/>
      <c r="I3" s="44"/>
      <c r="J3" s="44"/>
      <c r="K3" s="44"/>
      <c r="L3" s="44"/>
      <c r="M3" s="44"/>
      <c r="N3" s="44"/>
      <c r="O3" s="44"/>
      <c r="P3" s="44"/>
      <c r="Q3" s="44"/>
      <c r="R3" s="44"/>
      <c r="S3" s="44"/>
      <c r="T3" s="44"/>
      <c r="U3" s="44"/>
      <c r="V3" s="44"/>
      <c r="W3" s="16"/>
      <c r="X3" s="17"/>
      <c r="Y3" s="17"/>
      <c r="Z3" s="17"/>
      <c r="AA3" s="17"/>
      <c r="AB3" s="17"/>
      <c r="AC3" s="17"/>
      <c r="AD3" s="17"/>
      <c r="AE3" s="17"/>
      <c r="AF3" s="17"/>
      <c r="AG3" s="17"/>
      <c r="AH3" s="17"/>
      <c r="AI3" s="17"/>
      <c r="AJ3" s="17"/>
      <c r="AK3" s="17"/>
      <c r="AL3" s="17"/>
      <c r="AM3" s="17"/>
      <c r="AN3" s="17"/>
      <c r="AO3" s="17"/>
      <c r="AP3" s="17"/>
      <c r="AQ3" s="17"/>
      <c r="AR3" s="17"/>
      <c r="AS3" s="17"/>
      <c r="AT3" s="17"/>
    </row>
    <row r="4" spans="1:81" ht="14.5" customHeight="1">
      <c r="A4" s="44"/>
      <c r="B4" s="44"/>
      <c r="C4" s="44"/>
      <c r="D4" s="44"/>
      <c r="E4" s="44"/>
      <c r="F4" s="44"/>
      <c r="G4" s="44"/>
      <c r="H4" s="44"/>
      <c r="I4" s="44"/>
      <c r="J4" s="44"/>
      <c r="K4" s="44"/>
      <c r="L4" s="44"/>
      <c r="M4" s="44"/>
      <c r="N4" s="44"/>
      <c r="O4" s="44"/>
      <c r="P4" s="44"/>
      <c r="Q4" s="44"/>
      <c r="R4" s="44"/>
      <c r="S4" s="44"/>
      <c r="T4" s="44"/>
      <c r="U4" s="44"/>
      <c r="V4" s="44"/>
      <c r="W4" s="17"/>
      <c r="X4" s="17"/>
      <c r="Y4" s="17"/>
      <c r="Z4" s="17"/>
      <c r="AA4" s="17"/>
      <c r="AB4" s="17"/>
      <c r="AC4" s="17"/>
      <c r="AD4" s="17"/>
      <c r="AE4" s="17"/>
      <c r="AF4" s="17"/>
      <c r="AG4" s="17"/>
      <c r="AH4" s="17"/>
      <c r="AI4" s="17"/>
      <c r="AJ4" s="17"/>
      <c r="AK4" s="17"/>
      <c r="AL4" s="17"/>
      <c r="AM4" s="17"/>
      <c r="AN4" s="17"/>
      <c r="AO4" s="17"/>
      <c r="AP4" s="17"/>
      <c r="AQ4" s="17"/>
      <c r="AR4" s="17"/>
      <c r="AS4" s="17"/>
      <c r="AT4" s="17"/>
    </row>
    <row r="5" spans="1:81" ht="14.5" customHeight="1">
      <c r="A5" s="44"/>
      <c r="B5" s="44"/>
      <c r="C5" s="44"/>
      <c r="D5" s="44"/>
      <c r="E5" s="44"/>
      <c r="F5" s="44"/>
      <c r="G5" s="44"/>
      <c r="H5" s="44"/>
      <c r="I5" s="44"/>
      <c r="J5" s="44"/>
      <c r="K5" s="44"/>
      <c r="L5" s="44"/>
      <c r="M5" s="44"/>
      <c r="N5" s="44"/>
      <c r="O5" s="44"/>
      <c r="P5" s="44"/>
      <c r="Q5" s="44"/>
      <c r="R5" s="44"/>
      <c r="S5" s="44"/>
      <c r="T5" s="44"/>
      <c r="U5" s="44"/>
      <c r="V5" s="44"/>
      <c r="W5" s="17"/>
      <c r="X5" s="17"/>
      <c r="Y5" s="17"/>
      <c r="Z5" s="17"/>
      <c r="AA5" s="17"/>
      <c r="AB5" s="17"/>
      <c r="AC5" s="17"/>
      <c r="AD5" s="17"/>
      <c r="AE5" s="17"/>
      <c r="AF5" s="17"/>
      <c r="AG5" s="17"/>
      <c r="AH5" s="17"/>
      <c r="AI5" s="17"/>
      <c r="AJ5" s="17"/>
      <c r="AK5" s="17"/>
      <c r="AL5" s="17"/>
      <c r="AM5" s="17"/>
      <c r="AN5" s="17"/>
      <c r="AO5" s="17"/>
      <c r="AP5" s="17"/>
      <c r="AQ5" s="17"/>
      <c r="AR5" s="17"/>
      <c r="AS5" s="17"/>
      <c r="AT5" s="17"/>
    </row>
    <row r="6" spans="1:81" ht="14.5" customHeight="1">
      <c r="A6" s="44"/>
      <c r="B6" s="44"/>
      <c r="C6" s="44"/>
      <c r="D6" s="44"/>
      <c r="E6" s="44"/>
      <c r="F6" s="44"/>
      <c r="G6" s="44"/>
      <c r="H6" s="44"/>
      <c r="I6" s="44"/>
      <c r="J6" s="44"/>
      <c r="K6" s="44"/>
      <c r="L6" s="44"/>
      <c r="M6" s="44"/>
      <c r="N6" s="44"/>
      <c r="O6" s="44"/>
      <c r="P6" s="44"/>
      <c r="Q6" s="44"/>
      <c r="R6" s="44"/>
      <c r="S6" s="44"/>
      <c r="T6" s="44"/>
      <c r="U6" s="44"/>
      <c r="V6" s="44"/>
      <c r="W6" s="17"/>
      <c r="X6" s="17"/>
      <c r="Y6" s="17"/>
      <c r="Z6" s="17"/>
      <c r="AA6" s="17"/>
      <c r="AB6" s="17"/>
      <c r="AC6" s="17"/>
      <c r="AD6" s="17"/>
      <c r="AE6" s="17"/>
      <c r="AF6" s="17"/>
      <c r="AG6" s="17"/>
      <c r="AH6" s="17"/>
      <c r="AI6" s="17"/>
      <c r="AJ6" s="17"/>
      <c r="AK6" s="17"/>
      <c r="AL6" s="17"/>
      <c r="AM6" s="17"/>
      <c r="AN6" s="17"/>
      <c r="AO6" s="17"/>
      <c r="AP6" s="17"/>
      <c r="AQ6" s="17"/>
      <c r="AR6" s="17"/>
      <c r="AS6" s="17"/>
      <c r="AT6" s="17"/>
    </row>
    <row r="7" spans="1:8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row>
    <row r="8" spans="1:81" ht="18.5" customHeight="1">
      <c r="A8" s="45" t="s">
        <v>353</v>
      </c>
      <c r="B8" s="45"/>
      <c r="C8" s="45"/>
      <c r="D8" s="45"/>
      <c r="E8" s="14"/>
      <c r="F8" s="45" t="s">
        <v>326</v>
      </c>
      <c r="G8" s="45"/>
      <c r="H8" s="45"/>
      <c r="I8" s="45"/>
      <c r="J8" s="45"/>
      <c r="K8" s="17"/>
      <c r="L8" s="46" t="s">
        <v>327</v>
      </c>
      <c r="M8" s="46"/>
      <c r="N8" s="46"/>
      <c r="O8" s="46"/>
      <c r="P8" s="46"/>
      <c r="Q8" s="17"/>
      <c r="R8" s="45" t="s">
        <v>328</v>
      </c>
      <c r="S8" s="45"/>
      <c r="T8" s="45"/>
      <c r="U8" s="45"/>
      <c r="V8" s="45"/>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row>
    <row r="9" spans="1:81" ht="18.5" customHeight="1">
      <c r="A9" s="45"/>
      <c r="B9" s="45"/>
      <c r="C9" s="45"/>
      <c r="D9" s="45"/>
      <c r="E9" s="14"/>
      <c r="F9" s="45"/>
      <c r="G9" s="45"/>
      <c r="H9" s="45"/>
      <c r="I9" s="45"/>
      <c r="J9" s="45"/>
      <c r="K9" s="17"/>
      <c r="L9" s="46"/>
      <c r="M9" s="46"/>
      <c r="N9" s="46"/>
      <c r="O9" s="46"/>
      <c r="P9" s="46"/>
      <c r="Q9" s="17"/>
      <c r="R9" s="45"/>
      <c r="S9" s="45"/>
      <c r="T9" s="45"/>
      <c r="U9" s="45"/>
      <c r="V9" s="45"/>
      <c r="W9" s="17"/>
      <c r="X9" s="17"/>
      <c r="Y9" s="17"/>
      <c r="Z9" s="17"/>
      <c r="AA9" s="17"/>
      <c r="AB9" s="17"/>
      <c r="AC9" s="17"/>
      <c r="AD9" s="17"/>
      <c r="AE9" s="17"/>
      <c r="AF9" s="17"/>
      <c r="AG9" s="17"/>
      <c r="AH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row>
    <row r="10" spans="1:81" ht="18.5" customHeight="1">
      <c r="A10" s="45"/>
      <c r="B10" s="45"/>
      <c r="C10" s="45"/>
      <c r="D10" s="45"/>
      <c r="E10" s="14"/>
      <c r="F10" s="45"/>
      <c r="G10" s="45"/>
      <c r="H10" s="45"/>
      <c r="I10" s="45"/>
      <c r="J10" s="45"/>
      <c r="K10" s="17"/>
      <c r="L10" s="46"/>
      <c r="M10" s="46"/>
      <c r="N10" s="46"/>
      <c r="O10" s="46"/>
      <c r="P10" s="46"/>
      <c r="Q10" s="17"/>
      <c r="R10" s="45"/>
      <c r="S10" s="45"/>
      <c r="T10" s="45"/>
      <c r="U10" s="45"/>
      <c r="V10" s="45"/>
      <c r="W10" s="17"/>
      <c r="X10" s="17"/>
      <c r="Y10" s="17"/>
      <c r="Z10" s="17"/>
      <c r="AA10" s="17"/>
      <c r="AB10" s="17"/>
      <c r="AC10" s="17"/>
      <c r="AD10" s="17"/>
      <c r="AE10" s="17"/>
      <c r="AF10" s="17"/>
      <c r="AG10" s="17"/>
      <c r="AH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row>
    <row r="11" spans="1:81" ht="8" customHeight="1">
      <c r="A11" s="45"/>
      <c r="B11" s="45"/>
      <c r="C11" s="45"/>
      <c r="D11" s="45"/>
      <c r="E11" s="18"/>
      <c r="F11" s="45"/>
      <c r="G11" s="45"/>
      <c r="H11" s="45"/>
      <c r="I11" s="45"/>
      <c r="J11" s="45"/>
      <c r="K11" s="17"/>
      <c r="L11" s="46"/>
      <c r="M11" s="46"/>
      <c r="N11" s="46"/>
      <c r="O11" s="46"/>
      <c r="P11" s="46"/>
      <c r="Q11" s="17"/>
      <c r="R11" s="45"/>
      <c r="S11" s="45"/>
      <c r="T11" s="45"/>
      <c r="U11" s="45"/>
      <c r="V11" s="45"/>
      <c r="W11" s="17"/>
      <c r="X11" s="17"/>
      <c r="Y11" s="17"/>
      <c r="Z11" s="17"/>
      <c r="AA11" s="17"/>
      <c r="AB11" s="17"/>
      <c r="AC11" s="17"/>
      <c r="AD11" s="17"/>
      <c r="AE11" s="17"/>
      <c r="AF11" s="17"/>
      <c r="AG11" s="17"/>
      <c r="AH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row>
    <row r="12" spans="1:81" ht="14.5" customHeight="1">
      <c r="A12" s="47">
        <f>SUM(Table1[Revenue])</f>
        <v>198536.77999999997</v>
      </c>
      <c r="B12" s="47"/>
      <c r="C12" s="47"/>
      <c r="D12" s="47"/>
      <c r="E12" s="15"/>
      <c r="F12" s="49">
        <f>COUNTA(Table1[Transaction_ID])</f>
        <v>292</v>
      </c>
      <c r="G12" s="49"/>
      <c r="H12" s="49"/>
      <c r="I12" s="49"/>
      <c r="J12" s="49"/>
      <c r="K12" s="17"/>
      <c r="L12" s="47">
        <f>SUM(Table1[Quantity])</f>
        <v>1293</v>
      </c>
      <c r="M12" s="47"/>
      <c r="N12" s="47"/>
      <c r="O12" s="47"/>
      <c r="P12" s="47"/>
      <c r="Q12" s="17"/>
      <c r="R12" s="47">
        <f>SUMIF(Table1[Customer_Type],"Returning",Table1[Revenue])</f>
        <v>110691.94999999998</v>
      </c>
      <c r="S12" s="49"/>
      <c r="T12" s="49"/>
      <c r="U12" s="49"/>
      <c r="V12" s="49"/>
      <c r="W12" s="17"/>
      <c r="X12" s="17"/>
      <c r="Y12" s="17"/>
      <c r="Z12" s="17"/>
      <c r="AA12" s="17"/>
      <c r="AB12" s="17"/>
      <c r="AC12" s="17"/>
      <c r="AD12" s="17"/>
      <c r="AE12" s="17"/>
      <c r="AF12" s="17"/>
      <c r="AG12" s="17"/>
      <c r="AH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row>
    <row r="13" spans="1:81" ht="14.5" customHeight="1">
      <c r="A13" s="47"/>
      <c r="B13" s="47"/>
      <c r="C13" s="47"/>
      <c r="D13" s="47"/>
      <c r="E13" s="15"/>
      <c r="F13" s="49"/>
      <c r="G13" s="49"/>
      <c r="H13" s="49"/>
      <c r="I13" s="49"/>
      <c r="J13" s="49"/>
      <c r="K13" s="17"/>
      <c r="L13" s="47"/>
      <c r="M13" s="47"/>
      <c r="N13" s="47"/>
      <c r="O13" s="47"/>
      <c r="P13" s="47"/>
      <c r="Q13" s="17"/>
      <c r="R13" s="49"/>
      <c r="S13" s="49"/>
      <c r="T13" s="49"/>
      <c r="U13" s="49"/>
      <c r="V13" s="49"/>
      <c r="W13" s="17"/>
      <c r="X13" s="17"/>
      <c r="Y13" s="17"/>
      <c r="Z13" s="17"/>
      <c r="AA13" s="17"/>
      <c r="AB13" s="17"/>
      <c r="AC13" s="17"/>
      <c r="AD13" s="17"/>
      <c r="AE13" s="17"/>
      <c r="AF13" s="17"/>
      <c r="AG13" s="17"/>
      <c r="AH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row>
    <row r="14" spans="1:81" ht="18" customHeight="1">
      <c r="A14" s="47"/>
      <c r="B14" s="47"/>
      <c r="C14" s="47"/>
      <c r="D14" s="47"/>
      <c r="E14" s="15"/>
      <c r="F14" s="49"/>
      <c r="G14" s="49"/>
      <c r="H14" s="49"/>
      <c r="I14" s="49"/>
      <c r="J14" s="49"/>
      <c r="K14" s="17"/>
      <c r="L14" s="47"/>
      <c r="M14" s="47"/>
      <c r="N14" s="47"/>
      <c r="O14" s="47"/>
      <c r="P14" s="47"/>
      <c r="Q14" s="17"/>
      <c r="R14" s="49"/>
      <c r="S14" s="49"/>
      <c r="T14" s="49"/>
      <c r="U14" s="49"/>
      <c r="V14" s="49"/>
      <c r="W14" s="17"/>
      <c r="X14" s="17"/>
      <c r="Y14" s="17"/>
      <c r="Z14" s="17"/>
      <c r="AA14" s="17"/>
      <c r="AB14" s="17"/>
      <c r="AC14" s="17"/>
      <c r="AD14" s="17"/>
      <c r="AE14" s="17"/>
      <c r="AF14" s="17"/>
      <c r="AG14" s="17"/>
      <c r="AH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row>
    <row r="15" spans="1:8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row>
    <row r="16" spans="1:81" ht="18.5" customHeight="1">
      <c r="A16" s="45" t="s">
        <v>329</v>
      </c>
      <c r="B16" s="45"/>
      <c r="C16" s="45"/>
      <c r="D16" s="45"/>
      <c r="E16" s="14"/>
      <c r="F16" s="45" t="s">
        <v>330</v>
      </c>
      <c r="G16" s="45"/>
      <c r="H16" s="45"/>
      <c r="I16" s="45"/>
      <c r="J16" s="45"/>
      <c r="K16" s="17"/>
      <c r="L16" s="46" t="s">
        <v>331</v>
      </c>
      <c r="M16" s="46"/>
      <c r="N16" s="46"/>
      <c r="O16" s="46"/>
      <c r="P16" s="46"/>
      <c r="Q16" s="17"/>
      <c r="R16" s="45" t="s">
        <v>332</v>
      </c>
      <c r="S16" s="45"/>
      <c r="T16" s="45"/>
      <c r="U16" s="45"/>
      <c r="V16" s="45"/>
      <c r="W16" s="17"/>
      <c r="X16" s="17"/>
      <c r="Y16" s="17"/>
      <c r="Z16" s="17"/>
      <c r="AA16" s="17"/>
      <c r="AB16" s="17"/>
      <c r="AC16" s="17"/>
      <c r="AD16" s="17"/>
      <c r="AE16" s="17"/>
      <c r="AF16" s="17"/>
      <c r="AG16" s="17"/>
      <c r="AH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row>
    <row r="17" spans="1:81" ht="18.5" customHeight="1">
      <c r="A17" s="45"/>
      <c r="B17" s="45"/>
      <c r="C17" s="45"/>
      <c r="D17" s="45"/>
      <c r="E17" s="14"/>
      <c r="F17" s="45"/>
      <c r="G17" s="45"/>
      <c r="H17" s="45"/>
      <c r="I17" s="45"/>
      <c r="J17" s="45"/>
      <c r="K17" s="17"/>
      <c r="L17" s="46"/>
      <c r="M17" s="46"/>
      <c r="N17" s="46"/>
      <c r="O17" s="46"/>
      <c r="P17" s="46"/>
      <c r="Q17" s="17"/>
      <c r="R17" s="45"/>
      <c r="S17" s="45"/>
      <c r="T17" s="45"/>
      <c r="U17" s="45"/>
      <c r="V17" s="45"/>
      <c r="W17" s="17"/>
      <c r="X17" s="17"/>
      <c r="Y17" s="17"/>
      <c r="Z17" s="17"/>
      <c r="AA17" s="17"/>
      <c r="AB17" s="17"/>
      <c r="AC17" s="17"/>
      <c r="AD17" s="17"/>
      <c r="AE17" s="17"/>
      <c r="AF17" s="17"/>
      <c r="AG17" s="17"/>
      <c r="AH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row>
    <row r="18" spans="1:81" ht="18.5" customHeight="1">
      <c r="A18" s="45"/>
      <c r="B18" s="45"/>
      <c r="C18" s="45"/>
      <c r="D18" s="45"/>
      <c r="E18" s="14"/>
      <c r="F18" s="45"/>
      <c r="G18" s="45"/>
      <c r="H18" s="45"/>
      <c r="I18" s="45"/>
      <c r="J18" s="45"/>
      <c r="K18" s="17"/>
      <c r="L18" s="46"/>
      <c r="M18" s="46"/>
      <c r="N18" s="46"/>
      <c r="O18" s="46"/>
      <c r="P18" s="46"/>
      <c r="Q18" s="17"/>
      <c r="R18" s="45"/>
      <c r="S18" s="45"/>
      <c r="T18" s="45"/>
      <c r="U18" s="45"/>
      <c r="V18" s="45"/>
      <c r="W18" s="17"/>
      <c r="X18" s="17"/>
      <c r="Y18" s="17"/>
      <c r="Z18" s="17"/>
      <c r="AA18" s="17"/>
      <c r="AB18" s="17"/>
      <c r="AC18" s="17"/>
      <c r="AD18" s="17"/>
      <c r="AE18" s="17"/>
      <c r="AF18" s="17"/>
      <c r="AG18" s="17"/>
      <c r="AH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row>
    <row r="19" spans="1:81" ht="40.5">
      <c r="A19" s="48" t="str">
        <f>INDEX(Table1[Product_Category], MATCH(MAX(INDEX(SUMIF(Table1[Product_Category], Table1[Product_Category], Table1[Revenue]), 0)), INDEX(SUMIF(Table1[Product_Category], Table1[Product_Category], Table1[Revenue]), 0), 0))</f>
        <v>Electronics</v>
      </c>
      <c r="B19" s="48"/>
      <c r="C19" s="48"/>
      <c r="D19" s="48"/>
      <c r="E19" s="19"/>
      <c r="F19" s="51" t="str">
        <f>INDEX(Table1[City], MATCH(MAX(INDEX(SUMIF(Table1[City], Table1[City], Table1[Revenue]), 0)), INDEX(SUMIF(Table1[City], Table1[City], Table1[Revenue]), 0), 0))</f>
        <v>Mogadishu</v>
      </c>
      <c r="G19" s="52"/>
      <c r="H19" s="52"/>
      <c r="I19" s="52"/>
      <c r="J19" s="52"/>
      <c r="K19" s="17"/>
      <c r="L19" s="48">
        <f>SUMIF(Table1[Customer_Type],"New",Table1[Revenue])</f>
        <v>87844.830000000016</v>
      </c>
      <c r="M19" s="48"/>
      <c r="N19" s="48"/>
      <c r="O19" s="48"/>
      <c r="P19" s="48"/>
      <c r="Q19" s="17"/>
      <c r="R19" s="50" t="str">
        <f>TEXT(AVERAGE(Table1[Revenue]),"0.00")</f>
        <v>679.92</v>
      </c>
      <c r="S19" s="50"/>
      <c r="T19" s="50"/>
      <c r="U19" s="50"/>
      <c r="V19" s="50"/>
      <c r="W19" s="17"/>
      <c r="X19" s="17"/>
      <c r="Y19" s="17"/>
      <c r="Z19" s="17"/>
      <c r="AA19" s="17"/>
      <c r="AB19" s="17"/>
      <c r="AC19" s="17"/>
      <c r="AD19" s="17"/>
      <c r="AE19" s="17"/>
      <c r="AF19" s="17"/>
      <c r="AG19" s="17"/>
      <c r="AH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row>
    <row r="20" spans="1:8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row>
    <row r="21" spans="1:8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row>
    <row r="22" spans="1:8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row>
    <row r="23" spans="1:8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row>
    <row r="24" spans="1:8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row>
    <row r="25" spans="1:8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row>
    <row r="26" spans="1:8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row>
    <row r="27" spans="1:8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row>
    <row r="28" spans="1:8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row>
    <row r="29" spans="1:8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row>
    <row r="30" spans="1:8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row>
    <row r="31" spans="1:8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row>
    <row r="32" spans="1:8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row>
    <row r="33" spans="1:8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row>
    <row r="34" spans="1:8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row>
    <row r="35" spans="1:8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row>
    <row r="36" spans="1:8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row>
    <row r="37" spans="1:8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row>
    <row r="38" spans="1:8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row>
    <row r="39" spans="1:8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row>
    <row r="40" spans="1:8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row>
    <row r="41" spans="1:8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row>
    <row r="42" spans="1:8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row>
    <row r="43" spans="1:8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row>
    <row r="44" spans="1:8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row>
    <row r="45" spans="1:8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row>
    <row r="46" spans="1:8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row>
    <row r="47" spans="1:8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row>
    <row r="48" spans="1:8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row>
    <row r="49" spans="1:8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row>
    <row r="50" spans="1:8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row>
    <row r="51" spans="1:8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row>
    <row r="52" spans="1:8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row>
    <row r="53" spans="1:8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row>
    <row r="54" spans="1:8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row>
    <row r="55" spans="1:8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row>
    <row r="56" spans="1:8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row>
    <row r="57" spans="1:8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row>
    <row r="58" spans="1:8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row>
    <row r="59" spans="1:8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row>
    <row r="60" spans="1:8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row>
    <row r="61" spans="1:8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row>
    <row r="62" spans="1:8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row>
    <row r="63" spans="1:8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row>
    <row r="64" spans="1:81" s="17" customFormat="1"/>
    <row r="65" s="17" customFormat="1"/>
    <row r="66" s="17" customFormat="1"/>
    <row r="67" s="17" customFormat="1"/>
    <row r="68" s="17" customFormat="1"/>
    <row r="69" s="17" customFormat="1"/>
    <row r="70" s="17" customFormat="1"/>
    <row r="71" s="17" customFormat="1"/>
    <row r="72" s="17" customFormat="1"/>
    <row r="73" s="17" customFormat="1"/>
    <row r="74" s="17" customFormat="1"/>
    <row r="75" s="17" customFormat="1"/>
    <row r="76" s="17" customFormat="1"/>
    <row r="77" s="17" customFormat="1"/>
    <row r="78" s="17" customFormat="1"/>
    <row r="79" s="17" customFormat="1"/>
    <row r="80" s="17" customFormat="1"/>
    <row r="81" s="17" customFormat="1"/>
    <row r="82" s="17" customFormat="1"/>
    <row r="83" s="17" customFormat="1"/>
    <row r="84" s="17" customFormat="1"/>
    <row r="85" s="17" customFormat="1"/>
    <row r="86" s="17" customFormat="1"/>
    <row r="87" s="17" customFormat="1"/>
    <row r="88" s="17" customFormat="1"/>
    <row r="89" s="17" customFormat="1"/>
    <row r="90" s="17" customFormat="1"/>
    <row r="91" s="17" customFormat="1"/>
    <row r="92" s="17" customFormat="1"/>
    <row r="93" s="17" customFormat="1"/>
    <row r="94" s="17" customFormat="1"/>
    <row r="95" s="17" customFormat="1"/>
    <row r="96" s="17" customFormat="1"/>
    <row r="97" s="17" customFormat="1"/>
    <row r="98" s="17" customFormat="1"/>
    <row r="99" s="17" customFormat="1"/>
    <row r="100" s="17" customFormat="1"/>
    <row r="101" s="17" customFormat="1"/>
    <row r="102" s="17" customFormat="1"/>
    <row r="103" s="17" customFormat="1"/>
    <row r="104" s="17" customFormat="1"/>
    <row r="105" s="17" customFormat="1"/>
    <row r="106" s="17" customFormat="1"/>
    <row r="107" s="17" customFormat="1"/>
    <row r="108" s="17" customFormat="1"/>
    <row r="109" s="17" customFormat="1"/>
    <row r="110" s="17" customFormat="1"/>
    <row r="111" s="17" customFormat="1"/>
    <row r="112" s="17" customFormat="1"/>
    <row r="113" s="17" customFormat="1"/>
    <row r="114" s="17" customFormat="1"/>
    <row r="115" s="17" customFormat="1"/>
    <row r="116" s="17" customFormat="1"/>
    <row r="117" s="17" customFormat="1"/>
    <row r="118" s="17" customFormat="1"/>
    <row r="119" s="17" customFormat="1"/>
    <row r="120" s="17" customFormat="1"/>
    <row r="121" s="17" customFormat="1"/>
    <row r="122" s="17" customFormat="1"/>
    <row r="123" s="17" customFormat="1"/>
    <row r="124" s="17" customFormat="1"/>
    <row r="125" s="17" customFormat="1"/>
    <row r="126" s="17" customFormat="1"/>
    <row r="127" s="17" customFormat="1"/>
    <row r="128" s="17" customFormat="1"/>
    <row r="129" s="17" customFormat="1"/>
    <row r="130" s="17" customFormat="1"/>
    <row r="131" s="17" customFormat="1"/>
    <row r="132" s="17" customFormat="1"/>
    <row r="133" s="17" customFormat="1"/>
    <row r="134" s="17" customFormat="1"/>
    <row r="135" s="17" customFormat="1"/>
    <row r="136" s="17" customFormat="1"/>
    <row r="137" s="17" customFormat="1"/>
    <row r="138" s="17" customFormat="1"/>
    <row r="139" s="17" customFormat="1"/>
    <row r="140" s="17" customFormat="1"/>
    <row r="141" s="17" customFormat="1"/>
    <row r="142" s="17" customFormat="1"/>
    <row r="143" s="17" customFormat="1"/>
    <row r="144" s="17" customFormat="1"/>
    <row r="145" s="17" customFormat="1"/>
    <row r="146" s="17" customFormat="1"/>
    <row r="147" s="17" customFormat="1"/>
    <row r="148" s="17" customFormat="1"/>
    <row r="149" s="17" customFormat="1"/>
    <row r="150" s="17" customFormat="1"/>
    <row r="151" s="17" customFormat="1"/>
    <row r="152" s="17" customFormat="1"/>
    <row r="153" s="17" customFormat="1"/>
    <row r="154" s="17" customFormat="1"/>
    <row r="155" s="17" customFormat="1"/>
    <row r="156" s="17" customFormat="1"/>
    <row r="157" s="17" customFormat="1"/>
    <row r="158" s="17" customFormat="1"/>
    <row r="159" s="17" customFormat="1"/>
    <row r="160" s="17" customFormat="1"/>
    <row r="161" s="17" customFormat="1"/>
    <row r="162" s="17" customFormat="1"/>
    <row r="163" s="17" customFormat="1"/>
    <row r="164" s="17" customFormat="1"/>
    <row r="165" s="17" customFormat="1"/>
    <row r="166" s="17" customFormat="1"/>
    <row r="167" s="17" customFormat="1"/>
    <row r="168" s="17" customFormat="1"/>
    <row r="169" s="17" customFormat="1"/>
    <row r="170" s="17" customFormat="1"/>
    <row r="171" s="17" customFormat="1"/>
    <row r="172" s="17" customFormat="1"/>
    <row r="173" s="17" customFormat="1"/>
    <row r="174" s="17" customFormat="1"/>
    <row r="175" s="17" customFormat="1"/>
    <row r="176" s="17" customFormat="1"/>
    <row r="177" s="17" customFormat="1"/>
    <row r="178" s="17" customFormat="1"/>
    <row r="179" s="17" customFormat="1"/>
    <row r="180" s="17" customFormat="1"/>
    <row r="181" s="17" customFormat="1"/>
    <row r="182" s="17" customFormat="1"/>
    <row r="183" s="17" customFormat="1"/>
    <row r="184" s="17" customFormat="1"/>
    <row r="185" s="17" customFormat="1"/>
    <row r="186" s="17" customFormat="1"/>
    <row r="187" s="17" customFormat="1"/>
    <row r="188" s="17" customFormat="1"/>
    <row r="189" s="17" customFormat="1"/>
    <row r="190" s="17" customFormat="1"/>
    <row r="191" s="17" customFormat="1"/>
    <row r="192" s="17" customFormat="1"/>
    <row r="193" s="17" customFormat="1"/>
    <row r="194" s="17" customFormat="1"/>
    <row r="195" s="17" customFormat="1"/>
    <row r="196" s="17" customFormat="1"/>
    <row r="197" s="17" customFormat="1"/>
    <row r="198" s="17" customFormat="1"/>
    <row r="199" s="17" customFormat="1"/>
    <row r="200" s="17" customFormat="1"/>
    <row r="201" s="17" customFormat="1"/>
    <row r="202" s="17" customFormat="1"/>
    <row r="203" s="17" customFormat="1"/>
    <row r="204" s="17" customFormat="1"/>
    <row r="205" s="17" customFormat="1"/>
    <row r="206" s="17" customFormat="1"/>
    <row r="207" s="17" customFormat="1"/>
    <row r="208" s="17" customFormat="1"/>
    <row r="209" s="17" customFormat="1"/>
    <row r="210" s="17" customFormat="1"/>
    <row r="211" s="17" customFormat="1"/>
    <row r="212" s="17" customFormat="1"/>
    <row r="213" s="17" customFormat="1"/>
    <row r="214" s="17" customFormat="1"/>
    <row r="215" s="17" customFormat="1"/>
    <row r="216" s="17" customFormat="1"/>
    <row r="217" s="17" customFormat="1"/>
    <row r="218" s="17" customFormat="1"/>
    <row r="219" s="17" customFormat="1"/>
    <row r="220" s="17" customFormat="1"/>
    <row r="221" s="17" customFormat="1"/>
    <row r="222" s="17" customFormat="1"/>
    <row r="223" s="17" customFormat="1"/>
    <row r="224" s="17" customFormat="1"/>
    <row r="225" s="17" customFormat="1"/>
    <row r="226" s="17" customFormat="1"/>
    <row r="227" s="17" customFormat="1"/>
    <row r="228" s="17" customFormat="1"/>
    <row r="229" s="17" customFormat="1"/>
    <row r="230" s="17" customFormat="1"/>
    <row r="231" s="17" customFormat="1"/>
    <row r="232" s="17" customFormat="1"/>
    <row r="233" s="17" customFormat="1"/>
    <row r="234" s="17" customFormat="1"/>
    <row r="235" s="17" customFormat="1"/>
    <row r="236" s="17" customFormat="1"/>
    <row r="237" s="17" customFormat="1"/>
    <row r="238" s="17" customFormat="1"/>
    <row r="239" s="17" customFormat="1"/>
    <row r="240" s="17" customFormat="1"/>
    <row r="241" s="17" customFormat="1"/>
    <row r="242" s="17" customFormat="1"/>
    <row r="243" s="17" customFormat="1"/>
    <row r="244" s="17" customFormat="1"/>
    <row r="245" s="17" customFormat="1"/>
    <row r="246" s="17" customFormat="1"/>
    <row r="247" s="17" customFormat="1"/>
    <row r="248" s="17" customFormat="1"/>
    <row r="249" s="17" customFormat="1"/>
    <row r="250" s="17" customFormat="1"/>
    <row r="251" s="17" customFormat="1"/>
    <row r="252" s="17" customFormat="1"/>
    <row r="253" s="17" customFormat="1"/>
    <row r="254" s="17" customFormat="1"/>
    <row r="255" s="17" customFormat="1"/>
    <row r="256" s="17" customFormat="1"/>
    <row r="257" s="17" customFormat="1"/>
    <row r="258" s="17" customFormat="1"/>
    <row r="259" s="17" customFormat="1"/>
    <row r="260" s="17" customFormat="1"/>
    <row r="261" s="17" customFormat="1"/>
    <row r="262" s="17" customFormat="1"/>
    <row r="263" s="17" customFormat="1"/>
    <row r="264" s="17" customFormat="1"/>
    <row r="265" s="17" customFormat="1"/>
    <row r="266" s="17" customFormat="1"/>
    <row r="267" s="17" customFormat="1"/>
    <row r="268" s="17" customFormat="1"/>
    <row r="269" s="17" customFormat="1"/>
    <row r="270" s="17" customFormat="1"/>
    <row r="271" s="17" customFormat="1"/>
    <row r="272" s="17" customFormat="1"/>
    <row r="273" s="17" customFormat="1"/>
    <row r="274" s="17" customFormat="1"/>
    <row r="275" s="17" customFormat="1"/>
    <row r="276" s="17" customFormat="1"/>
    <row r="277" s="17" customFormat="1"/>
    <row r="278" s="17" customFormat="1"/>
    <row r="279" s="17" customFormat="1"/>
    <row r="280" s="17" customFormat="1"/>
    <row r="281" s="17" customFormat="1"/>
    <row r="282" s="17" customFormat="1"/>
    <row r="283" s="17" customFormat="1"/>
    <row r="284" s="17" customFormat="1"/>
    <row r="285" s="17" customFormat="1"/>
    <row r="286" s="17" customFormat="1"/>
    <row r="287" s="17" customFormat="1"/>
    <row r="288" s="17" customFormat="1"/>
    <row r="289" s="17" customFormat="1"/>
    <row r="290" s="17" customFormat="1"/>
    <row r="291" s="17" customFormat="1"/>
    <row r="292" s="17" customFormat="1"/>
    <row r="293" s="17" customFormat="1"/>
    <row r="294" s="17" customFormat="1"/>
    <row r="295" s="17" customFormat="1"/>
    <row r="296" s="17" customFormat="1"/>
    <row r="297" s="17" customFormat="1"/>
    <row r="298" s="17" customFormat="1"/>
    <row r="299" s="17" customFormat="1"/>
    <row r="300" s="17" customFormat="1"/>
    <row r="301" s="17" customFormat="1"/>
    <row r="302" s="17" customFormat="1"/>
    <row r="303" s="17" customFormat="1"/>
    <row r="304" s="17" customFormat="1"/>
    <row r="305" s="17" customFormat="1"/>
    <row r="306" s="17" customFormat="1"/>
    <row r="307" s="17" customFormat="1"/>
    <row r="308" s="17" customFormat="1"/>
    <row r="309" s="17" customFormat="1"/>
    <row r="310" s="17" customFormat="1"/>
    <row r="311" s="17" customFormat="1"/>
    <row r="312" s="17" customFormat="1"/>
    <row r="313" s="17" customFormat="1"/>
    <row r="314" s="17" customFormat="1"/>
    <row r="315" s="17" customFormat="1"/>
    <row r="316" s="17" customFormat="1"/>
    <row r="317" s="17" customFormat="1"/>
    <row r="318" s="17" customFormat="1"/>
    <row r="319" s="17" customFormat="1"/>
    <row r="320" s="17" customFormat="1"/>
    <row r="321" s="17" customFormat="1"/>
    <row r="322" s="17" customFormat="1"/>
    <row r="323" s="17" customFormat="1"/>
    <row r="324" s="17" customFormat="1"/>
    <row r="325" s="17" customFormat="1"/>
    <row r="326" s="17" customFormat="1"/>
    <row r="327" s="17" customFormat="1"/>
    <row r="328" s="17" customFormat="1"/>
    <row r="329" s="17" customFormat="1"/>
    <row r="330" s="17" customFormat="1"/>
    <row r="331" s="17" customFormat="1"/>
    <row r="332" s="17" customFormat="1"/>
    <row r="333" s="17" customFormat="1"/>
    <row r="334" s="17" customFormat="1"/>
    <row r="335" s="17" customFormat="1"/>
    <row r="336" s="17" customFormat="1"/>
    <row r="337" s="17" customFormat="1"/>
    <row r="338" s="17" customFormat="1"/>
    <row r="339" s="17" customFormat="1"/>
    <row r="340" s="17" customFormat="1"/>
    <row r="341" s="17" customFormat="1"/>
    <row r="342" s="17" customFormat="1"/>
    <row r="343" s="17" customFormat="1"/>
    <row r="344" s="17" customFormat="1"/>
    <row r="345" s="17" customFormat="1"/>
    <row r="346" s="17" customFormat="1"/>
    <row r="347" s="17" customFormat="1"/>
    <row r="348" s="17" customFormat="1"/>
    <row r="349" s="17" customFormat="1"/>
    <row r="350" s="17" customFormat="1"/>
    <row r="351" s="17" customFormat="1"/>
    <row r="352" s="17" customFormat="1"/>
    <row r="353" s="17" customFormat="1"/>
    <row r="354" s="17" customFormat="1"/>
    <row r="355" s="17" customFormat="1"/>
    <row r="356" s="17" customFormat="1"/>
    <row r="357" s="17" customFormat="1"/>
    <row r="358" s="17" customFormat="1"/>
    <row r="359" s="17" customFormat="1"/>
    <row r="360" s="17" customFormat="1"/>
    <row r="361" s="17" customFormat="1"/>
    <row r="362" s="17" customFormat="1"/>
    <row r="363" s="17" customFormat="1"/>
    <row r="364" s="17" customFormat="1"/>
    <row r="365" s="17" customFormat="1"/>
    <row r="366" s="17" customFormat="1"/>
    <row r="367" s="17" customFormat="1"/>
    <row r="368" s="17" customFormat="1"/>
    <row r="369" s="17" customFormat="1"/>
    <row r="370" s="17" customFormat="1"/>
    <row r="371" s="17" customFormat="1"/>
    <row r="372" s="17" customFormat="1"/>
    <row r="373" s="17" customFormat="1"/>
    <row r="374" s="17" customFormat="1"/>
    <row r="375" s="17" customFormat="1"/>
    <row r="376" s="17" customFormat="1"/>
    <row r="377" s="17" customFormat="1"/>
    <row r="378" s="17" customFormat="1"/>
    <row r="379" s="17" customFormat="1"/>
    <row r="380" s="17" customFormat="1"/>
    <row r="381" s="17" customFormat="1"/>
    <row r="382" s="17" customFormat="1"/>
    <row r="383" s="17" customFormat="1"/>
    <row r="384" s="17" customFormat="1"/>
    <row r="385" s="17" customFormat="1"/>
    <row r="386" s="17" customFormat="1"/>
    <row r="387" s="17" customFormat="1"/>
    <row r="388" s="17" customFormat="1"/>
    <row r="389" s="17" customFormat="1"/>
    <row r="390" s="17" customFormat="1"/>
    <row r="391" s="17" customFormat="1"/>
    <row r="392" s="17" customFormat="1"/>
    <row r="393" s="17" customFormat="1"/>
    <row r="394" s="17" customFormat="1"/>
    <row r="395" s="17" customFormat="1"/>
    <row r="396" s="17" customFormat="1"/>
    <row r="397" s="17" customFormat="1"/>
    <row r="398" s="17" customFormat="1"/>
    <row r="399" s="17" customFormat="1"/>
    <row r="400" s="17" customFormat="1"/>
    <row r="401" s="17" customFormat="1"/>
    <row r="402" s="17" customFormat="1"/>
    <row r="403" s="17" customFormat="1"/>
    <row r="404" s="17" customFormat="1"/>
    <row r="405" s="17" customFormat="1"/>
    <row r="406" s="17" customFormat="1"/>
    <row r="407" s="17" customFormat="1"/>
    <row r="408" s="17" customFormat="1"/>
    <row r="409" s="17" customFormat="1"/>
    <row r="410" s="17" customFormat="1"/>
    <row r="411" s="17" customFormat="1"/>
    <row r="412" s="17" customFormat="1"/>
    <row r="413" s="17" customFormat="1"/>
    <row r="414" s="17" customFormat="1"/>
    <row r="415" s="17" customFormat="1"/>
    <row r="416" s="17" customFormat="1"/>
    <row r="417" s="17" customFormat="1"/>
    <row r="418" s="17" customFormat="1"/>
    <row r="419" s="17" customFormat="1"/>
    <row r="420" s="17" customFormat="1"/>
    <row r="421" s="17" customFormat="1"/>
    <row r="422" s="17" customFormat="1"/>
    <row r="423" s="17" customFormat="1"/>
    <row r="424" s="17" customFormat="1"/>
    <row r="425" s="17" customFormat="1"/>
    <row r="426" s="17" customFormat="1"/>
    <row r="427" s="17" customFormat="1"/>
    <row r="428" s="17" customFormat="1"/>
    <row r="429" s="17" customFormat="1"/>
    <row r="430" s="17" customFormat="1"/>
    <row r="431" s="17" customFormat="1"/>
    <row r="432" s="17" customFormat="1"/>
    <row r="433" s="17" customFormat="1"/>
    <row r="434" s="17" customFormat="1"/>
    <row r="435" s="17" customFormat="1"/>
    <row r="436" s="17" customFormat="1"/>
    <row r="437" s="17" customFormat="1"/>
    <row r="438" s="17" customFormat="1"/>
    <row r="439" s="17" customFormat="1"/>
    <row r="440" s="17" customFormat="1"/>
    <row r="441" s="17" customFormat="1"/>
    <row r="442" s="17" customFormat="1"/>
    <row r="443" s="17" customFormat="1"/>
    <row r="444" s="17" customFormat="1"/>
    <row r="445" s="17" customFormat="1"/>
    <row r="446" s="17" customFormat="1"/>
    <row r="447" s="17" customFormat="1"/>
    <row r="448" s="17" customFormat="1"/>
    <row r="449" s="17" customFormat="1"/>
    <row r="450" s="17" customFormat="1"/>
    <row r="451" s="17" customFormat="1"/>
    <row r="452" s="17" customFormat="1"/>
    <row r="453" s="17" customFormat="1"/>
    <row r="454" s="17" customFormat="1"/>
    <row r="455" s="17" customFormat="1"/>
    <row r="456" s="17" customFormat="1"/>
    <row r="457" s="17" customFormat="1"/>
    <row r="458" s="17" customFormat="1"/>
    <row r="459" s="17" customFormat="1"/>
    <row r="460" s="17" customFormat="1"/>
    <row r="461" s="17" customFormat="1"/>
    <row r="462" s="17" customFormat="1"/>
    <row r="463" s="17" customFormat="1"/>
    <row r="464" s="17" customFormat="1"/>
    <row r="465" s="17" customFormat="1"/>
    <row r="466" s="17" customFormat="1"/>
    <row r="467" s="17" customFormat="1"/>
    <row r="468" s="17" customFormat="1"/>
    <row r="469" s="17" customFormat="1"/>
    <row r="470" s="17" customFormat="1"/>
    <row r="471" s="17" customFormat="1"/>
    <row r="472" s="17" customFormat="1"/>
    <row r="473" s="17" customFormat="1"/>
    <row r="474" s="17" customFormat="1"/>
    <row r="475" s="17" customFormat="1"/>
    <row r="476" s="17" customFormat="1"/>
    <row r="477" s="17" customFormat="1"/>
    <row r="478" s="17" customFormat="1"/>
    <row r="479" s="17" customFormat="1"/>
    <row r="480" s="17" customFormat="1"/>
    <row r="481" s="17" customFormat="1"/>
    <row r="482" s="17" customFormat="1"/>
    <row r="483" s="17" customFormat="1"/>
    <row r="484" s="17" customFormat="1"/>
    <row r="485" s="17" customFormat="1"/>
    <row r="486" s="17" customFormat="1"/>
    <row r="487" s="17" customFormat="1"/>
    <row r="488" s="17" customFormat="1"/>
    <row r="489" s="17" customFormat="1"/>
    <row r="490" s="17" customFormat="1"/>
    <row r="491" s="17" customFormat="1"/>
    <row r="492" s="17" customFormat="1"/>
    <row r="493" s="17" customFormat="1"/>
    <row r="494" s="17" customFormat="1"/>
    <row r="495" s="17" customFormat="1"/>
    <row r="496" s="17" customFormat="1"/>
    <row r="497" s="17" customFormat="1"/>
    <row r="498" s="17" customFormat="1"/>
    <row r="499" s="17" customFormat="1"/>
    <row r="500" s="17" customFormat="1"/>
    <row r="501" s="17" customFormat="1"/>
    <row r="502" s="17" customFormat="1"/>
    <row r="503" s="17" customFormat="1"/>
    <row r="504" s="17" customFormat="1"/>
    <row r="505" s="17" customFormat="1"/>
    <row r="506" s="17" customFormat="1"/>
    <row r="507" s="17" customFormat="1"/>
    <row r="508" s="17" customFormat="1"/>
    <row r="509" s="17" customFormat="1"/>
    <row r="510" s="17" customFormat="1"/>
    <row r="511" s="17" customFormat="1"/>
    <row r="512" s="17" customFormat="1"/>
    <row r="513" s="17" customFormat="1"/>
    <row r="514" s="17" customFormat="1"/>
    <row r="515" s="17" customFormat="1"/>
    <row r="516" s="17" customFormat="1"/>
    <row r="517" s="17" customFormat="1"/>
    <row r="518" s="17" customFormat="1"/>
    <row r="519" s="17" customFormat="1"/>
    <row r="520" s="17" customFormat="1"/>
    <row r="521" s="17" customFormat="1"/>
    <row r="522" s="17" customFormat="1"/>
    <row r="523" s="17" customFormat="1"/>
    <row r="524" s="17" customFormat="1"/>
    <row r="525" s="17" customFormat="1"/>
    <row r="526" s="17" customFormat="1"/>
    <row r="527" s="17" customFormat="1"/>
    <row r="528" s="17" customFormat="1"/>
    <row r="529" s="17" customFormat="1"/>
    <row r="530" s="17" customFormat="1"/>
    <row r="531" s="17" customFormat="1"/>
    <row r="532" s="17" customFormat="1"/>
    <row r="533" s="17" customFormat="1"/>
    <row r="534" s="17" customFormat="1"/>
    <row r="535" s="17" customFormat="1"/>
    <row r="536" s="17" customFormat="1"/>
    <row r="537" s="17" customFormat="1"/>
    <row r="538" s="17" customFormat="1"/>
    <row r="539" s="17" customFormat="1"/>
    <row r="540" s="17" customFormat="1"/>
    <row r="541" s="17" customFormat="1"/>
    <row r="542" s="17" customFormat="1"/>
    <row r="543" s="17" customFormat="1"/>
    <row r="544" s="17" customFormat="1"/>
    <row r="545" s="17" customFormat="1"/>
    <row r="546" s="17" customFormat="1"/>
    <row r="547" s="17" customFormat="1"/>
    <row r="548" s="17" customFormat="1"/>
    <row r="549" s="17" customFormat="1"/>
    <row r="550" s="17" customFormat="1"/>
    <row r="551" s="17" customFormat="1"/>
    <row r="552" s="17" customFormat="1"/>
    <row r="553" s="17" customFormat="1"/>
    <row r="554" s="17" customFormat="1"/>
    <row r="555" s="17" customFormat="1"/>
    <row r="556" s="17" customFormat="1"/>
    <row r="557" s="17" customFormat="1"/>
    <row r="558" s="17" customFormat="1"/>
    <row r="559" s="17" customFormat="1"/>
    <row r="560" s="17" customFormat="1"/>
    <row r="561" s="17" customFormat="1"/>
    <row r="562" s="17" customFormat="1"/>
    <row r="563" s="17" customFormat="1"/>
    <row r="564" s="17" customFormat="1"/>
    <row r="565" s="17" customFormat="1"/>
    <row r="566" s="17" customFormat="1"/>
    <row r="567" s="17" customFormat="1"/>
    <row r="568" s="17" customFormat="1"/>
    <row r="569" s="17" customFormat="1"/>
    <row r="570" s="17" customFormat="1"/>
    <row r="571" s="17" customFormat="1"/>
    <row r="572" s="17" customFormat="1"/>
    <row r="573" s="17" customFormat="1"/>
    <row r="574" s="17" customFormat="1"/>
    <row r="575" s="17" customFormat="1"/>
    <row r="576" s="17" customFormat="1"/>
    <row r="577" s="17" customFormat="1"/>
    <row r="578" s="17" customFormat="1"/>
    <row r="579" s="17" customFormat="1"/>
    <row r="580" s="17" customFormat="1"/>
    <row r="581" s="17" customFormat="1"/>
    <row r="582" s="17" customFormat="1"/>
    <row r="583" s="17" customFormat="1"/>
    <row r="584" s="17" customFormat="1"/>
    <row r="585" s="17" customFormat="1"/>
    <row r="586" s="17" customFormat="1"/>
    <row r="587" s="17" customFormat="1"/>
    <row r="588" s="17" customFormat="1"/>
    <row r="589" s="17" customFormat="1"/>
    <row r="590" s="17" customFormat="1"/>
    <row r="591" s="17" customFormat="1"/>
    <row r="592" s="17" customFormat="1"/>
    <row r="593" s="17" customFormat="1"/>
    <row r="594" s="17" customFormat="1"/>
    <row r="595" s="17" customFormat="1"/>
    <row r="596" s="17" customFormat="1"/>
    <row r="597" s="17" customFormat="1"/>
    <row r="598" s="17" customFormat="1"/>
    <row r="599" s="17" customFormat="1"/>
    <row r="600" s="17" customFormat="1"/>
    <row r="601" s="17" customFormat="1"/>
    <row r="602" s="17" customFormat="1"/>
    <row r="603" s="17" customFormat="1"/>
    <row r="604" s="17" customFormat="1"/>
    <row r="605" s="17" customFormat="1"/>
    <row r="606" s="17" customFormat="1"/>
    <row r="607" s="17" customFormat="1"/>
    <row r="608" s="17" customFormat="1"/>
    <row r="609" s="17" customFormat="1"/>
    <row r="610" s="17" customFormat="1"/>
    <row r="611" s="17" customFormat="1"/>
    <row r="612" s="17" customFormat="1"/>
    <row r="613" s="17" customFormat="1"/>
    <row r="614" s="17" customFormat="1"/>
    <row r="615" s="17" customFormat="1"/>
    <row r="616" s="17" customFormat="1"/>
    <row r="617" s="17" customFormat="1"/>
    <row r="618" s="17" customFormat="1"/>
    <row r="619" s="17" customFormat="1"/>
    <row r="620" s="17" customFormat="1"/>
    <row r="621" s="17" customFormat="1"/>
    <row r="622" s="17" customFormat="1"/>
    <row r="623" s="17" customFormat="1"/>
    <row r="624" s="17" customFormat="1"/>
    <row r="625" s="17" customFormat="1"/>
    <row r="626" s="17" customFormat="1"/>
    <row r="627" s="17" customFormat="1"/>
    <row r="628" s="17" customFormat="1"/>
    <row r="629" s="17" customFormat="1"/>
    <row r="630" s="17" customFormat="1"/>
    <row r="631" s="17" customFormat="1"/>
    <row r="632" s="17" customFormat="1"/>
    <row r="633" s="17" customFormat="1"/>
    <row r="634" s="17" customFormat="1"/>
    <row r="635" s="17" customFormat="1"/>
    <row r="636" s="17" customFormat="1"/>
    <row r="637" s="17" customFormat="1"/>
    <row r="638" s="17" customFormat="1"/>
    <row r="639" s="17" customFormat="1"/>
    <row r="640" s="17" customFormat="1"/>
    <row r="641" s="17" customFormat="1"/>
    <row r="642" s="17" customFormat="1"/>
    <row r="643" s="17" customFormat="1"/>
    <row r="644" s="17" customFormat="1"/>
    <row r="645" s="17" customFormat="1"/>
    <row r="646" s="17" customFormat="1"/>
    <row r="647" s="17" customFormat="1"/>
    <row r="648" s="17" customFormat="1"/>
    <row r="649" s="17" customFormat="1"/>
    <row r="650" s="17" customFormat="1"/>
    <row r="651" s="17" customFormat="1"/>
    <row r="652" s="17" customFormat="1"/>
    <row r="653" s="17" customFormat="1"/>
    <row r="654" s="17" customFormat="1"/>
    <row r="655" s="17" customFormat="1"/>
    <row r="656" s="17" customFormat="1"/>
    <row r="657" s="17" customFormat="1"/>
    <row r="658" s="17" customFormat="1"/>
    <row r="659" s="17" customFormat="1"/>
    <row r="660" s="17" customFormat="1"/>
    <row r="661" s="17" customFormat="1"/>
    <row r="662" s="17" customFormat="1"/>
    <row r="663" s="17" customFormat="1"/>
    <row r="664" s="17" customFormat="1"/>
    <row r="665" s="17" customFormat="1"/>
    <row r="666" s="17" customFormat="1"/>
    <row r="667" s="17" customFormat="1"/>
    <row r="668" s="17" customFormat="1"/>
    <row r="669" s="17" customFormat="1"/>
    <row r="670" s="17" customFormat="1"/>
    <row r="671" s="17" customFormat="1"/>
    <row r="672" s="17" customFormat="1"/>
    <row r="673" s="17" customFormat="1"/>
    <row r="674" s="17" customFormat="1"/>
    <row r="675" s="17" customFormat="1"/>
    <row r="676" s="17" customFormat="1"/>
    <row r="677" s="17" customFormat="1"/>
    <row r="678" s="17" customFormat="1"/>
    <row r="679" s="17" customFormat="1"/>
    <row r="680" s="17" customFormat="1"/>
    <row r="681" s="17" customFormat="1"/>
    <row r="682" s="17" customFormat="1"/>
    <row r="683" s="17" customFormat="1"/>
    <row r="684" s="17" customFormat="1"/>
    <row r="685" s="17" customFormat="1"/>
    <row r="686" s="17" customFormat="1"/>
    <row r="687" s="17" customFormat="1"/>
    <row r="688" s="17" customFormat="1"/>
    <row r="689" s="17" customFormat="1"/>
    <row r="690" s="17" customFormat="1"/>
    <row r="691" s="17" customFormat="1"/>
    <row r="692" s="17" customFormat="1"/>
    <row r="693" s="17" customFormat="1"/>
    <row r="694" s="17" customFormat="1"/>
    <row r="695" s="17" customFormat="1"/>
    <row r="696" s="17" customFormat="1"/>
    <row r="697" s="17" customFormat="1"/>
    <row r="698" s="17" customFormat="1"/>
    <row r="699" s="17" customFormat="1"/>
    <row r="700" s="17" customFormat="1"/>
    <row r="701" s="17" customFormat="1"/>
    <row r="702" s="17" customFormat="1"/>
    <row r="703" s="17" customFormat="1"/>
    <row r="704" s="17" customFormat="1"/>
    <row r="705" s="17" customFormat="1"/>
    <row r="706" s="17" customFormat="1"/>
    <row r="707" s="17" customFormat="1"/>
    <row r="708" s="17" customFormat="1"/>
    <row r="709" s="17" customFormat="1"/>
    <row r="710" s="17" customFormat="1"/>
    <row r="711" s="17" customFormat="1"/>
    <row r="712" s="17" customFormat="1"/>
    <row r="713" s="17" customFormat="1"/>
    <row r="714" s="17" customFormat="1"/>
    <row r="715" s="17" customFormat="1"/>
    <row r="716" s="17" customFormat="1"/>
    <row r="717" s="17" customFormat="1"/>
    <row r="718" s="17" customFormat="1"/>
    <row r="719" s="17" customFormat="1"/>
    <row r="720" s="17" customFormat="1"/>
    <row r="721" s="17" customFormat="1"/>
    <row r="722" s="17" customFormat="1"/>
    <row r="723" s="17" customFormat="1"/>
    <row r="724" s="17" customFormat="1"/>
    <row r="725" s="17" customFormat="1"/>
    <row r="726" s="17" customFormat="1"/>
    <row r="727" s="17" customFormat="1"/>
    <row r="728" s="17" customFormat="1"/>
    <row r="729" s="17" customFormat="1"/>
    <row r="730" s="17" customFormat="1"/>
    <row r="731" s="17" customFormat="1"/>
    <row r="732" s="17" customFormat="1"/>
    <row r="733" s="17" customFormat="1"/>
    <row r="734" s="17" customFormat="1"/>
    <row r="735" s="17" customFormat="1"/>
    <row r="736" s="17" customFormat="1"/>
    <row r="737" s="17" customFormat="1"/>
    <row r="738" s="17" customFormat="1"/>
    <row r="739" s="17" customFormat="1"/>
    <row r="740" s="17" customFormat="1"/>
    <row r="741" s="17" customFormat="1"/>
    <row r="742" s="17" customFormat="1"/>
    <row r="743" s="17" customFormat="1"/>
    <row r="744" s="17" customFormat="1"/>
    <row r="745" s="17" customFormat="1"/>
    <row r="746" s="17" customFormat="1"/>
    <row r="747" s="17" customFormat="1"/>
    <row r="748" s="17" customFormat="1"/>
    <row r="749" s="17" customFormat="1"/>
    <row r="750" s="17" customFormat="1"/>
    <row r="751" s="17" customFormat="1"/>
    <row r="752" s="17" customFormat="1"/>
    <row r="753" s="17" customFormat="1"/>
    <row r="754" s="17" customFormat="1"/>
    <row r="755" s="17" customFormat="1"/>
    <row r="756" s="17" customFormat="1"/>
    <row r="757" s="17" customFormat="1"/>
    <row r="758" s="17" customFormat="1"/>
    <row r="759" s="17" customFormat="1"/>
    <row r="760" s="17" customFormat="1"/>
    <row r="761" s="17" customFormat="1"/>
    <row r="762" s="17" customFormat="1"/>
    <row r="763" s="17" customFormat="1"/>
    <row r="764" s="17" customFormat="1"/>
    <row r="765" s="17" customFormat="1"/>
    <row r="766" s="17" customFormat="1"/>
    <row r="767" s="17" customFormat="1"/>
    <row r="768" s="17" customFormat="1"/>
    <row r="769" s="17" customFormat="1"/>
    <row r="770" s="17" customFormat="1"/>
    <row r="771" s="17" customFormat="1"/>
    <row r="772" s="17" customFormat="1"/>
    <row r="773" s="17" customFormat="1"/>
    <row r="774" s="17" customFormat="1"/>
    <row r="775" s="17" customFormat="1"/>
    <row r="776" s="17" customFormat="1"/>
    <row r="777" s="17" customFormat="1"/>
    <row r="778" s="17" customFormat="1"/>
    <row r="779" s="17" customFormat="1"/>
    <row r="780" s="17" customFormat="1"/>
    <row r="781" s="17" customFormat="1"/>
    <row r="782" s="17" customFormat="1"/>
    <row r="783" s="17" customFormat="1"/>
    <row r="784" s="17" customFormat="1"/>
    <row r="785" s="17" customFormat="1"/>
    <row r="786" s="17" customFormat="1"/>
    <row r="787" s="17" customFormat="1"/>
    <row r="788" s="17" customFormat="1"/>
    <row r="789" s="17" customFormat="1"/>
    <row r="790" s="17" customFormat="1"/>
    <row r="791" s="17" customFormat="1"/>
    <row r="792" s="17" customFormat="1"/>
    <row r="793" s="17" customFormat="1"/>
    <row r="794" s="17" customFormat="1"/>
    <row r="795" s="17" customFormat="1"/>
    <row r="796" s="17" customFormat="1"/>
    <row r="797" s="17" customFormat="1"/>
    <row r="798" s="17" customFormat="1"/>
    <row r="799" s="17" customFormat="1"/>
    <row r="800" s="17" customFormat="1"/>
    <row r="801" s="17" customFormat="1"/>
    <row r="802" s="17" customFormat="1"/>
    <row r="803" s="17" customFormat="1"/>
    <row r="804" s="17" customFormat="1"/>
    <row r="805" s="17" customFormat="1"/>
    <row r="806" s="17" customFormat="1"/>
    <row r="807" s="17" customFormat="1"/>
    <row r="808" s="17" customFormat="1"/>
    <row r="809" s="17" customFormat="1"/>
  </sheetData>
  <mergeCells count="17">
    <mergeCell ref="R19:V19"/>
    <mergeCell ref="L19:P19"/>
    <mergeCell ref="R12:V14"/>
    <mergeCell ref="F16:J18"/>
    <mergeCell ref="L16:P18"/>
    <mergeCell ref="R16:V18"/>
    <mergeCell ref="F19:J19"/>
    <mergeCell ref="A12:D14"/>
    <mergeCell ref="A16:D18"/>
    <mergeCell ref="A19:D19"/>
    <mergeCell ref="F12:J14"/>
    <mergeCell ref="L12:P14"/>
    <mergeCell ref="A1:V6"/>
    <mergeCell ref="A8:D11"/>
    <mergeCell ref="F8:J11"/>
    <mergeCell ref="L8:P11"/>
    <mergeCell ref="R8:V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Raw_Data</vt:lpstr>
      <vt:lpstr>Data_Quality_Notes</vt:lpstr>
      <vt:lpstr>Problems</vt:lpstr>
      <vt:lpstr>Detail1</vt:lpstr>
      <vt:lpstr>Cleaned_Data</vt:lpstr>
      <vt:lpstr>Pivot Tables</vt:lpstr>
      <vt:lpstr>Dashboard</vt:lpstr>
      <vt:lpstr>CleanedTableData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Leave</dc:creator>
  <cp:lastModifiedBy>Mr.. Leave</cp:lastModifiedBy>
  <dcterms:created xsi:type="dcterms:W3CDTF">2026-08-15T17:41:56Z</dcterms:created>
  <dcterms:modified xsi:type="dcterms:W3CDTF">2026-08-24T08:47:17Z</dcterms:modified>
</cp:coreProperties>
</file>